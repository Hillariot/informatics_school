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Лист1" sheetId="1" r:id="rId1"/>
    <sheet name="зачислен 1" sheetId="2" r:id="rId2"/>
    <sheet name="зачислен 2" sheetId="3" r:id="rId3"/>
    <sheet name="зачислен 3" sheetId="4" r:id="rId4"/>
    <sheet name="зачислен 4" sheetId="5" r:id="rId5"/>
  </sheets>
  <definedNames>
    <definedName name="_xlnm._FilterDatabase" localSheetId="1" hidden="1">'зачислен 1'!$A$1:$I$10</definedName>
    <definedName name="_xlnm._FilterDatabase" localSheetId="2" hidden="1">'зачислен 2'!$A$1:$I$10</definedName>
    <definedName name="_xlnm._FilterDatabase" localSheetId="3" hidden="1">'зачислен 3'!$A$1:$I$10</definedName>
    <definedName name="_xlnm._FilterDatabase" localSheetId="4" hidden="1">'зачислен 4'!$A$1:$H$10</definedName>
    <definedName name="_xlnm._FilterDatabase" localSheetId="0" hidden="1">Лист1!$A$1:$L$10</definedName>
    <definedName name="_xlnm.Extract" localSheetId="1">'зачислен 1'!$A$12:$I$12</definedName>
    <definedName name="_xlnm.Extract" localSheetId="2">'зачислен 2'!$A$12:$I$12</definedName>
    <definedName name="_xlnm.Extract" localSheetId="3">'зачислен 3'!$A$12:$I$12</definedName>
    <definedName name="_xlnm.Extract" localSheetId="4">'зачислен 4'!$A$12:$H$12</definedName>
    <definedName name="_xlnm.Criteria" localSheetId="1">'зачислен 1'!$L$1:$M$2</definedName>
    <definedName name="_xlnm.Criteria" localSheetId="2">'зачислен 2'!$L$1:$N$3</definedName>
    <definedName name="_xlnm.Criteria" localSheetId="3">'зачислен 3'!$L$1:$N$2</definedName>
    <definedName name="_xlnm.Criteria" localSheetId="4">'зачислен 4'!$K$1:$N$5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2" i="5"/>
  <c r="H3" i="4"/>
  <c r="H4" i="4"/>
  <c r="H5" i="4"/>
  <c r="H6" i="4"/>
  <c r="H7" i="4"/>
  <c r="H8" i="4"/>
  <c r="H9" i="4"/>
  <c r="H10" i="4"/>
  <c r="H2" i="4"/>
  <c r="H2" i="3"/>
  <c r="I10" i="4"/>
  <c r="I9" i="4"/>
  <c r="I8" i="4"/>
  <c r="I7" i="4"/>
  <c r="I6" i="4"/>
  <c r="I5" i="4"/>
  <c r="I4" i="4"/>
  <c r="I3" i="4"/>
  <c r="I2" i="4"/>
  <c r="I2" i="3"/>
  <c r="H3" i="3"/>
  <c r="H4" i="3"/>
  <c r="H5" i="3"/>
  <c r="H6" i="3"/>
  <c r="H7" i="3"/>
  <c r="H8" i="3"/>
  <c r="H9" i="3"/>
  <c r="H10" i="3"/>
  <c r="H2" i="2"/>
  <c r="I3" i="3"/>
  <c r="I4" i="3"/>
  <c r="I5" i="3"/>
  <c r="I6" i="3"/>
  <c r="I7" i="3"/>
  <c r="I8" i="3"/>
  <c r="I9" i="3"/>
  <c r="I10" i="3"/>
  <c r="H3" i="2"/>
  <c r="H4" i="2"/>
  <c r="H5" i="2"/>
  <c r="H6" i="2"/>
  <c r="H7" i="2"/>
  <c r="H8" i="2"/>
  <c r="H9" i="2"/>
  <c r="H10" i="2"/>
  <c r="H3" i="5"/>
  <c r="H4" i="5"/>
  <c r="H5" i="5"/>
  <c r="H6" i="5"/>
  <c r="H7" i="5"/>
  <c r="H8" i="5"/>
  <c r="H9" i="5"/>
  <c r="H10" i="5"/>
  <c r="H2" i="5"/>
  <c r="L3" i="1"/>
  <c r="L4" i="1"/>
  <c r="L5" i="1"/>
  <c r="L6" i="1"/>
  <c r="L7" i="1"/>
  <c r="L8" i="1"/>
  <c r="L9" i="1"/>
  <c r="L10" i="1"/>
  <c r="L2" i="1"/>
  <c r="K3" i="1"/>
  <c r="I10" i="2"/>
  <c r="I9" i="2"/>
  <c r="I8" i="2"/>
  <c r="I7" i="2"/>
  <c r="I6" i="2"/>
  <c r="I5" i="2"/>
  <c r="I4" i="2"/>
  <c r="I3" i="2"/>
  <c r="I2" i="2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I2" i="1"/>
  <c r="I3" i="1" l="1"/>
  <c r="I4" i="1"/>
  <c r="I5" i="1"/>
  <c r="I6" i="1"/>
  <c r="I7" i="1"/>
  <c r="I8" i="1"/>
  <c r="I9" i="1"/>
  <c r="I10" i="1"/>
</calcChain>
</file>

<file path=xl/sharedStrings.xml><?xml version="1.0" encoding="utf-8"?>
<sst xmlns="http://schemas.openxmlformats.org/spreadsheetml/2006/main" count="230" uniqueCount="31">
  <si>
    <t>№ п/п</t>
  </si>
  <si>
    <t>Фамилия</t>
  </si>
  <si>
    <t>Медалист</t>
  </si>
  <si>
    <t>Физика</t>
  </si>
  <si>
    <t>Математика</t>
  </si>
  <si>
    <t>Русский</t>
  </si>
  <si>
    <t>Ин. Язык</t>
  </si>
  <si>
    <t>Сумма</t>
  </si>
  <si>
    <t>Нет</t>
  </si>
  <si>
    <t>Да</t>
  </si>
  <si>
    <t>Сазанов</t>
  </si>
  <si>
    <t>Воробьёв</t>
  </si>
  <si>
    <t>Соколов</t>
  </si>
  <si>
    <t>Антонов</t>
  </si>
  <si>
    <t>Воронов</t>
  </si>
  <si>
    <t>Пригодин</t>
  </si>
  <si>
    <t>Харитонов</t>
  </si>
  <si>
    <t>Самойлов</t>
  </si>
  <si>
    <t>Быстров</t>
  </si>
  <si>
    <t>Зачислен1</t>
  </si>
  <si>
    <t>Зачислен2</t>
  </si>
  <si>
    <t>Зачислен3</t>
  </si>
  <si>
    <t>Зачислен4</t>
  </si>
  <si>
    <t>&gt;3</t>
  </si>
  <si>
    <t>&gt;15</t>
  </si>
  <si>
    <t>да</t>
  </si>
  <si>
    <t>&gt;=4</t>
  </si>
  <si>
    <t>&gt;=16</t>
  </si>
  <si>
    <t>&gt;4</t>
  </si>
  <si>
    <t>Зачислен 4</t>
  </si>
  <si>
    <t>&lt;16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</si>
</sst>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sqref="A1:L10"/>
    </sheetView>
  </sheetViews>
  <sheetFormatPr defaultRowHeight="15" x14ac:dyDescent="0.25"/>
  <cols>
    <col min="1" max="1" width="11.5703125" customWidth="1"/>
    <col min="2" max="2" width="14.5703125" customWidth="1"/>
    <col min="3" max="3" width="16" customWidth="1"/>
    <col min="4" max="4" width="12.7109375" customWidth="1"/>
    <col min="9" max="9" width="12.7109375" customWidth="1"/>
    <col min="10" max="10" width="17.28515625" customWidth="1"/>
    <col min="11" max="11" width="17.42578125" customWidth="1"/>
    <col min="12" max="12" width="18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25">
      <c r="A2">
        <v>1</v>
      </c>
      <c r="B2" t="s">
        <v>10</v>
      </c>
      <c r="C2" t="s">
        <v>8</v>
      </c>
      <c r="D2">
        <v>4</v>
      </c>
      <c r="E2">
        <v>4</v>
      </c>
      <c r="F2">
        <v>5</v>
      </c>
      <c r="G2">
        <v>5</v>
      </c>
      <c r="I2" t="str">
        <f>IF(AND($D2 &gt;=4,$D2+$E2+$F2+$G2&gt;=16), "да", "нет")</f>
        <v>да</v>
      </c>
      <c r="J2" t="str">
        <f>IF(AND($G2 &gt;=4,$D2+$E2+$F2+$G2&gt;=16), "да", "нет")</f>
        <v>да</v>
      </c>
      <c r="K2" t="str">
        <f>IF(AND($D2 &gt;=5,$E2=5,$D2+$E2+$F2+$G2&gt;=16), "да", "нет")</f>
        <v>нет</v>
      </c>
      <c r="L2" t="str">
        <f t="shared" ref="L2:L10" si="0">IF(OR(AND(OR($D2 &gt;=5,$E2=5),$D2+$E2+$F2+$G2&gt;=16),AND(OR($D2 &gt;=5,$E2=5),AND($D2+$E2+$F2+$G2&lt;16,C2="Да"))), "да", "нет")</f>
        <v>нет</v>
      </c>
    </row>
    <row r="3" spans="1:12" x14ac:dyDescent="0.25">
      <c r="A3">
        <v>2</v>
      </c>
      <c r="B3" t="s">
        <v>11</v>
      </c>
      <c r="C3" t="s">
        <v>8</v>
      </c>
      <c r="D3">
        <v>3</v>
      </c>
      <c r="E3">
        <v>5</v>
      </c>
      <c r="F3">
        <v>3</v>
      </c>
      <c r="G3">
        <v>3</v>
      </c>
      <c r="I3" t="str">
        <f t="shared" ref="I3:I10" si="1">IF(AND($D3 &gt;=4,$D3+$E3+$F3+$G3&gt;=16), "да", "нет")</f>
        <v>нет</v>
      </c>
      <c r="J3" t="str">
        <f t="shared" ref="J3:J10" si="2">IF(AND($G3 &gt;=4,$D3+$E3+$F3+$G3&gt;=16), "да", "нет")</f>
        <v>нет</v>
      </c>
      <c r="K3" t="str">
        <f>IF(AND($D3 &gt;=5,$E3=5,$D3+$E3+$F3+$G3&gt;=16), "да", "нет")</f>
        <v>нет</v>
      </c>
      <c r="L3" t="str">
        <f t="shared" si="0"/>
        <v>нет</v>
      </c>
    </row>
    <row r="4" spans="1:12" x14ac:dyDescent="0.25">
      <c r="A4">
        <v>3</v>
      </c>
      <c r="B4" t="s">
        <v>12</v>
      </c>
      <c r="C4" t="s">
        <v>9</v>
      </c>
      <c r="D4">
        <v>5</v>
      </c>
      <c r="E4">
        <v>5</v>
      </c>
      <c r="F4">
        <v>4</v>
      </c>
      <c r="G4">
        <v>4</v>
      </c>
      <c r="I4" t="str">
        <f t="shared" si="1"/>
        <v>да</v>
      </c>
      <c r="J4" t="str">
        <f t="shared" si="2"/>
        <v>да</v>
      </c>
      <c r="K4" t="str">
        <f t="shared" ref="K3:K10" si="3">IF(AND($D4 &gt;=5,$E4=5,$D4+$E4+$F4+$G4&gt;=16), "да", "нет")</f>
        <v>да</v>
      </c>
      <c r="L4" t="str">
        <f t="shared" si="0"/>
        <v>да</v>
      </c>
    </row>
    <row r="5" spans="1:12" x14ac:dyDescent="0.25">
      <c r="A5">
        <v>4</v>
      </c>
      <c r="B5" t="s">
        <v>13</v>
      </c>
      <c r="C5" t="s">
        <v>8</v>
      </c>
      <c r="D5">
        <v>3</v>
      </c>
      <c r="E5">
        <v>3</v>
      </c>
      <c r="F5">
        <v>5</v>
      </c>
      <c r="G5">
        <v>5</v>
      </c>
      <c r="I5" t="str">
        <f t="shared" si="1"/>
        <v>нет</v>
      </c>
      <c r="J5" t="str">
        <f t="shared" si="2"/>
        <v>да</v>
      </c>
      <c r="K5" t="str">
        <f t="shared" si="3"/>
        <v>нет</v>
      </c>
      <c r="L5" t="str">
        <f t="shared" si="0"/>
        <v>нет</v>
      </c>
    </row>
    <row r="6" spans="1:12" x14ac:dyDescent="0.25">
      <c r="A6">
        <v>5</v>
      </c>
      <c r="B6" t="s">
        <v>14</v>
      </c>
      <c r="C6" t="s">
        <v>9</v>
      </c>
      <c r="D6">
        <v>3</v>
      </c>
      <c r="E6">
        <v>5</v>
      </c>
      <c r="F6">
        <v>3</v>
      </c>
      <c r="G6">
        <v>4</v>
      </c>
      <c r="I6" t="str">
        <f t="shared" si="1"/>
        <v>нет</v>
      </c>
      <c r="J6" t="str">
        <f t="shared" si="2"/>
        <v>нет</v>
      </c>
      <c r="K6" t="str">
        <f t="shared" si="3"/>
        <v>нет</v>
      </c>
      <c r="L6" t="str">
        <f t="shared" si="0"/>
        <v>да</v>
      </c>
    </row>
    <row r="7" spans="1:12" x14ac:dyDescent="0.25">
      <c r="A7">
        <v>6</v>
      </c>
      <c r="B7" t="s">
        <v>15</v>
      </c>
      <c r="C7" t="s">
        <v>8</v>
      </c>
      <c r="D7">
        <v>4</v>
      </c>
      <c r="E7">
        <v>5</v>
      </c>
      <c r="F7">
        <v>3</v>
      </c>
      <c r="G7">
        <v>4</v>
      </c>
      <c r="I7" t="str">
        <f t="shared" si="1"/>
        <v>да</v>
      </c>
      <c r="J7" t="str">
        <f t="shared" si="2"/>
        <v>да</v>
      </c>
      <c r="K7" t="str">
        <f t="shared" si="3"/>
        <v>нет</v>
      </c>
      <c r="L7" t="str">
        <f t="shared" si="0"/>
        <v>да</v>
      </c>
    </row>
    <row r="8" spans="1:12" x14ac:dyDescent="0.25">
      <c r="A8">
        <v>7</v>
      </c>
      <c r="B8" t="s">
        <v>16</v>
      </c>
      <c r="C8" t="s">
        <v>8</v>
      </c>
      <c r="D8">
        <v>3</v>
      </c>
      <c r="E8">
        <v>3</v>
      </c>
      <c r="F8">
        <v>4</v>
      </c>
      <c r="G8">
        <v>4</v>
      </c>
      <c r="I8" t="str">
        <f t="shared" si="1"/>
        <v>нет</v>
      </c>
      <c r="J8" t="str">
        <f t="shared" si="2"/>
        <v>нет</v>
      </c>
      <c r="K8" t="str">
        <f t="shared" si="3"/>
        <v>нет</v>
      </c>
      <c r="L8" t="str">
        <f t="shared" si="0"/>
        <v>нет</v>
      </c>
    </row>
    <row r="9" spans="1:12" x14ac:dyDescent="0.25">
      <c r="A9">
        <v>8</v>
      </c>
      <c r="B9" t="s">
        <v>17</v>
      </c>
      <c r="C9" t="s">
        <v>8</v>
      </c>
      <c r="D9">
        <v>3</v>
      </c>
      <c r="E9">
        <v>3</v>
      </c>
      <c r="F9">
        <v>3</v>
      </c>
      <c r="G9">
        <v>4</v>
      </c>
      <c r="I9" t="str">
        <f t="shared" si="1"/>
        <v>нет</v>
      </c>
      <c r="J9" t="str">
        <f t="shared" si="2"/>
        <v>нет</v>
      </c>
      <c r="K9" t="str">
        <f t="shared" si="3"/>
        <v>нет</v>
      </c>
      <c r="L9" t="str">
        <f t="shared" si="0"/>
        <v>нет</v>
      </c>
    </row>
    <row r="10" spans="1:12" x14ac:dyDescent="0.25">
      <c r="A10">
        <v>9</v>
      </c>
      <c r="B10" t="s">
        <v>18</v>
      </c>
      <c r="C10" t="s">
        <v>9</v>
      </c>
      <c r="D10">
        <v>3</v>
      </c>
      <c r="E10">
        <v>4</v>
      </c>
      <c r="F10">
        <v>3</v>
      </c>
      <c r="G10">
        <v>4</v>
      </c>
      <c r="I10" t="str">
        <f t="shared" si="1"/>
        <v>нет</v>
      </c>
      <c r="J10" t="str">
        <f t="shared" si="2"/>
        <v>нет</v>
      </c>
      <c r="K10" t="str">
        <f t="shared" si="3"/>
        <v>нет</v>
      </c>
      <c r="L10" t="str">
        <f t="shared" si="0"/>
        <v>нет</v>
      </c>
    </row>
  </sheetData>
  <autoFilter ref="A1:L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H2" sqref="H2"/>
    </sheetView>
  </sheetViews>
  <sheetFormatPr defaultRowHeight="15" x14ac:dyDescent="0.25"/>
  <cols>
    <col min="2" max="2" width="12.42578125" customWidth="1"/>
    <col min="9" max="9" width="15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19</v>
      </c>
      <c r="L1" t="s">
        <v>4</v>
      </c>
      <c r="M1" t="s">
        <v>7</v>
      </c>
    </row>
    <row r="2" spans="1:13" x14ac:dyDescent="0.25">
      <c r="A2">
        <v>1</v>
      </c>
      <c r="B2" t="s">
        <v>10</v>
      </c>
      <c r="C2" t="s">
        <v>8</v>
      </c>
      <c r="D2">
        <v>4</v>
      </c>
      <c r="E2">
        <v>4</v>
      </c>
      <c r="F2">
        <v>5</v>
      </c>
      <c r="G2">
        <v>5</v>
      </c>
      <c r="H2">
        <f>SUM(D2:G2)</f>
        <v>18</v>
      </c>
      <c r="I2" t="str">
        <f>IF(AND($D2 &gt;=4,$D2+$E2+$F2+$G2&gt;=16), "да", "нет")</f>
        <v>да</v>
      </c>
      <c r="L2" t="s">
        <v>23</v>
      </c>
      <c r="M2" t="s">
        <v>24</v>
      </c>
    </row>
    <row r="3" spans="1:13" x14ac:dyDescent="0.25">
      <c r="A3">
        <v>2</v>
      </c>
      <c r="B3" t="s">
        <v>11</v>
      </c>
      <c r="C3" t="s">
        <v>8</v>
      </c>
      <c r="D3">
        <v>3</v>
      </c>
      <c r="E3">
        <v>5</v>
      </c>
      <c r="F3">
        <v>3</v>
      </c>
      <c r="G3">
        <v>3</v>
      </c>
      <c r="H3">
        <f t="shared" ref="H3:H10" si="0">SUM(D3:G3)</f>
        <v>14</v>
      </c>
      <c r="I3" t="str">
        <f t="shared" ref="I3:I10" si="1">IF(AND($D3 &gt;=4,$D3+$E3+$F3+$G3&gt;=16), "да", "нет")</f>
        <v>нет</v>
      </c>
    </row>
    <row r="4" spans="1:13" x14ac:dyDescent="0.25">
      <c r="A4">
        <v>3</v>
      </c>
      <c r="B4" t="s">
        <v>12</v>
      </c>
      <c r="C4" t="s">
        <v>9</v>
      </c>
      <c r="D4">
        <v>5</v>
      </c>
      <c r="E4">
        <v>5</v>
      </c>
      <c r="F4">
        <v>4</v>
      </c>
      <c r="G4">
        <v>4</v>
      </c>
      <c r="H4">
        <f t="shared" si="0"/>
        <v>18</v>
      </c>
      <c r="I4" t="str">
        <f t="shared" si="1"/>
        <v>да</v>
      </c>
    </row>
    <row r="5" spans="1:13" x14ac:dyDescent="0.25">
      <c r="A5">
        <v>4</v>
      </c>
      <c r="B5" t="s">
        <v>13</v>
      </c>
      <c r="C5" t="s">
        <v>8</v>
      </c>
      <c r="D5">
        <v>3</v>
      </c>
      <c r="E5">
        <v>3</v>
      </c>
      <c r="F5">
        <v>5</v>
      </c>
      <c r="G5">
        <v>5</v>
      </c>
      <c r="H5">
        <f t="shared" si="0"/>
        <v>16</v>
      </c>
      <c r="I5" t="str">
        <f t="shared" si="1"/>
        <v>нет</v>
      </c>
    </row>
    <row r="6" spans="1:13" x14ac:dyDescent="0.25">
      <c r="A6">
        <v>5</v>
      </c>
      <c r="B6" t="s">
        <v>14</v>
      </c>
      <c r="C6" t="s">
        <v>9</v>
      </c>
      <c r="D6">
        <v>3</v>
      </c>
      <c r="E6">
        <v>5</v>
      </c>
      <c r="F6">
        <v>3</v>
      </c>
      <c r="G6">
        <v>4</v>
      </c>
      <c r="H6">
        <f t="shared" si="0"/>
        <v>15</v>
      </c>
      <c r="I6" t="str">
        <f t="shared" si="1"/>
        <v>нет</v>
      </c>
    </row>
    <row r="7" spans="1:13" x14ac:dyDescent="0.25">
      <c r="A7">
        <v>6</v>
      </c>
      <c r="B7" t="s">
        <v>15</v>
      </c>
      <c r="C7" t="s">
        <v>8</v>
      </c>
      <c r="D7">
        <v>4</v>
      </c>
      <c r="E7">
        <v>5</v>
      </c>
      <c r="F7">
        <v>3</v>
      </c>
      <c r="G7">
        <v>4</v>
      </c>
      <c r="H7">
        <f t="shared" si="0"/>
        <v>16</v>
      </c>
      <c r="I7" t="str">
        <f t="shared" si="1"/>
        <v>да</v>
      </c>
    </row>
    <row r="8" spans="1:13" x14ac:dyDescent="0.25">
      <c r="A8">
        <v>7</v>
      </c>
      <c r="B8" t="s">
        <v>16</v>
      </c>
      <c r="C8" t="s">
        <v>8</v>
      </c>
      <c r="D8">
        <v>3</v>
      </c>
      <c r="E8">
        <v>3</v>
      </c>
      <c r="F8">
        <v>4</v>
      </c>
      <c r="G8">
        <v>4</v>
      </c>
      <c r="H8">
        <f t="shared" si="0"/>
        <v>14</v>
      </c>
      <c r="I8" t="str">
        <f t="shared" si="1"/>
        <v>нет</v>
      </c>
    </row>
    <row r="9" spans="1:13" x14ac:dyDescent="0.25">
      <c r="A9">
        <v>8</v>
      </c>
      <c r="B9" t="s">
        <v>17</v>
      </c>
      <c r="C9" t="s">
        <v>8</v>
      </c>
      <c r="D9">
        <v>3</v>
      </c>
      <c r="E9">
        <v>3</v>
      </c>
      <c r="F9">
        <v>3</v>
      </c>
      <c r="G9">
        <v>4</v>
      </c>
      <c r="H9">
        <f t="shared" si="0"/>
        <v>13</v>
      </c>
      <c r="I9" t="str">
        <f t="shared" si="1"/>
        <v>нет</v>
      </c>
    </row>
    <row r="10" spans="1:13" x14ac:dyDescent="0.25">
      <c r="A10">
        <v>9</v>
      </c>
      <c r="B10" t="s">
        <v>18</v>
      </c>
      <c r="C10" t="s">
        <v>9</v>
      </c>
      <c r="D10">
        <v>3</v>
      </c>
      <c r="E10">
        <v>4</v>
      </c>
      <c r="F10">
        <v>3</v>
      </c>
      <c r="G10">
        <v>4</v>
      </c>
      <c r="H10">
        <f t="shared" si="0"/>
        <v>14</v>
      </c>
      <c r="I10" t="str">
        <f t="shared" si="1"/>
        <v>нет</v>
      </c>
    </row>
    <row r="12" spans="1:13" x14ac:dyDescent="0.25">
      <c r="A12" t="s">
        <v>0</v>
      </c>
      <c r="B12" t="s">
        <v>1</v>
      </c>
      <c r="C12" t="s">
        <v>2</v>
      </c>
      <c r="D12" t="s">
        <v>4</v>
      </c>
      <c r="E12" t="s">
        <v>3</v>
      </c>
      <c r="F12" t="s">
        <v>5</v>
      </c>
      <c r="G12" t="s">
        <v>6</v>
      </c>
      <c r="H12" t="s">
        <v>7</v>
      </c>
      <c r="I12" t="s">
        <v>19</v>
      </c>
    </row>
    <row r="13" spans="1:13" x14ac:dyDescent="0.25">
      <c r="A13">
        <v>1</v>
      </c>
      <c r="B13" t="s">
        <v>10</v>
      </c>
      <c r="C13" t="s">
        <v>8</v>
      </c>
      <c r="D13">
        <v>4</v>
      </c>
      <c r="E13">
        <v>4</v>
      </c>
      <c r="F13">
        <v>5</v>
      </c>
      <c r="G13">
        <v>5</v>
      </c>
      <c r="H13">
        <v>18</v>
      </c>
      <c r="I13" t="s">
        <v>25</v>
      </c>
    </row>
    <row r="14" spans="1:13" x14ac:dyDescent="0.25">
      <c r="A14">
        <v>3</v>
      </c>
      <c r="B14" t="s">
        <v>12</v>
      </c>
      <c r="C14" t="s">
        <v>9</v>
      </c>
      <c r="D14">
        <v>5</v>
      </c>
      <c r="E14">
        <v>5</v>
      </c>
      <c r="F14">
        <v>4</v>
      </c>
      <c r="G14">
        <v>4</v>
      </c>
      <c r="H14">
        <v>18</v>
      </c>
      <c r="I14" t="s">
        <v>25</v>
      </c>
    </row>
    <row r="15" spans="1:13" x14ac:dyDescent="0.25">
      <c r="A15">
        <v>6</v>
      </c>
      <c r="B15" t="s">
        <v>15</v>
      </c>
      <c r="C15" t="s">
        <v>8</v>
      </c>
      <c r="D15">
        <v>4</v>
      </c>
      <c r="E15">
        <v>5</v>
      </c>
      <c r="F15">
        <v>3</v>
      </c>
      <c r="G15">
        <v>4</v>
      </c>
      <c r="H15">
        <v>16</v>
      </c>
      <c r="I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I12" sqref="I12:I16"/>
    </sheetView>
  </sheetViews>
  <sheetFormatPr defaultRowHeight="15" x14ac:dyDescent="0.25"/>
  <cols>
    <col min="9" max="9" width="13.5703125" customWidth="1"/>
    <col min="10" max="10" width="9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20</v>
      </c>
      <c r="L1" t="s">
        <v>6</v>
      </c>
      <c r="M1" t="s">
        <v>5</v>
      </c>
      <c r="N1" t="s">
        <v>7</v>
      </c>
    </row>
    <row r="2" spans="1:14" x14ac:dyDescent="0.25">
      <c r="A2">
        <v>1</v>
      </c>
      <c r="B2" t="s">
        <v>10</v>
      </c>
      <c r="C2" t="s">
        <v>8</v>
      </c>
      <c r="D2">
        <v>4</v>
      </c>
      <c r="E2">
        <v>4</v>
      </c>
      <c r="F2">
        <v>5</v>
      </c>
      <c r="G2">
        <v>5</v>
      </c>
      <c r="H2">
        <f>SUM(D2:G2)</f>
        <v>18</v>
      </c>
      <c r="I2" t="str">
        <f>IF(AND(OR($G2 &gt;=4,$F2&gt;=4),$D2+$E2+$F2+$G2&gt;=16), "да", "нет")</f>
        <v>да</v>
      </c>
      <c r="L2" t="s">
        <v>26</v>
      </c>
      <c r="N2" t="s">
        <v>27</v>
      </c>
    </row>
    <row r="3" spans="1:14" x14ac:dyDescent="0.25">
      <c r="A3">
        <v>2</v>
      </c>
      <c r="B3" t="s">
        <v>11</v>
      </c>
      <c r="C3" t="s">
        <v>8</v>
      </c>
      <c r="D3">
        <v>3</v>
      </c>
      <c r="E3">
        <v>5</v>
      </c>
      <c r="F3">
        <v>3</v>
      </c>
      <c r="G3">
        <v>3</v>
      </c>
      <c r="H3">
        <f t="shared" ref="H3:H10" si="0">SUM(D3:G3)</f>
        <v>14</v>
      </c>
      <c r="I3" t="str">
        <f t="shared" ref="I3:I10" si="1">IF(AND(OR($G3 &gt;=4,$F3&gt;=4),$D3+$E3+$F3+$G3&gt;=16), "да", "нет")</f>
        <v>нет</v>
      </c>
      <c r="M3" t="s">
        <v>26</v>
      </c>
      <c r="N3" t="s">
        <v>27</v>
      </c>
    </row>
    <row r="4" spans="1:14" x14ac:dyDescent="0.25">
      <c r="A4">
        <v>3</v>
      </c>
      <c r="B4" t="s">
        <v>12</v>
      </c>
      <c r="C4" t="s">
        <v>9</v>
      </c>
      <c r="D4">
        <v>5</v>
      </c>
      <c r="E4">
        <v>5</v>
      </c>
      <c r="F4">
        <v>4</v>
      </c>
      <c r="G4">
        <v>4</v>
      </c>
      <c r="H4">
        <f t="shared" si="0"/>
        <v>18</v>
      </c>
      <c r="I4" t="str">
        <f t="shared" si="1"/>
        <v>да</v>
      </c>
    </row>
    <row r="5" spans="1:14" x14ac:dyDescent="0.25">
      <c r="A5">
        <v>4</v>
      </c>
      <c r="B5" t="s">
        <v>13</v>
      </c>
      <c r="C5" t="s">
        <v>8</v>
      </c>
      <c r="D5">
        <v>3</v>
      </c>
      <c r="E5">
        <v>3</v>
      </c>
      <c r="F5">
        <v>5</v>
      </c>
      <c r="G5">
        <v>5</v>
      </c>
      <c r="H5">
        <f t="shared" si="0"/>
        <v>16</v>
      </c>
      <c r="I5" t="str">
        <f t="shared" si="1"/>
        <v>да</v>
      </c>
    </row>
    <row r="6" spans="1:14" x14ac:dyDescent="0.25">
      <c r="A6">
        <v>5</v>
      </c>
      <c r="B6" t="s">
        <v>14</v>
      </c>
      <c r="C6" t="s">
        <v>9</v>
      </c>
      <c r="D6">
        <v>3</v>
      </c>
      <c r="E6">
        <v>5</v>
      </c>
      <c r="F6">
        <v>3</v>
      </c>
      <c r="G6">
        <v>4</v>
      </c>
      <c r="H6">
        <f t="shared" si="0"/>
        <v>15</v>
      </c>
      <c r="I6" t="str">
        <f t="shared" si="1"/>
        <v>нет</v>
      </c>
    </row>
    <row r="7" spans="1:14" x14ac:dyDescent="0.25">
      <c r="A7">
        <v>6</v>
      </c>
      <c r="B7" t="s">
        <v>15</v>
      </c>
      <c r="C7" t="s">
        <v>8</v>
      </c>
      <c r="D7">
        <v>4</v>
      </c>
      <c r="E7">
        <v>5</v>
      </c>
      <c r="F7">
        <v>3</v>
      </c>
      <c r="G7">
        <v>4</v>
      </c>
      <c r="H7">
        <f t="shared" si="0"/>
        <v>16</v>
      </c>
      <c r="I7" t="str">
        <f t="shared" si="1"/>
        <v>да</v>
      </c>
    </row>
    <row r="8" spans="1:14" x14ac:dyDescent="0.25">
      <c r="A8">
        <v>7</v>
      </c>
      <c r="B8" t="s">
        <v>16</v>
      </c>
      <c r="C8" t="s">
        <v>8</v>
      </c>
      <c r="D8">
        <v>3</v>
      </c>
      <c r="E8">
        <v>3</v>
      </c>
      <c r="F8">
        <v>4</v>
      </c>
      <c r="G8">
        <v>4</v>
      </c>
      <c r="H8">
        <f t="shared" si="0"/>
        <v>14</v>
      </c>
      <c r="I8" t="str">
        <f t="shared" si="1"/>
        <v>нет</v>
      </c>
    </row>
    <row r="9" spans="1:14" x14ac:dyDescent="0.25">
      <c r="A9">
        <v>8</v>
      </c>
      <c r="B9" t="s">
        <v>17</v>
      </c>
      <c r="C9" t="s">
        <v>8</v>
      </c>
      <c r="D9">
        <v>3</v>
      </c>
      <c r="E9">
        <v>3</v>
      </c>
      <c r="F9">
        <v>3</v>
      </c>
      <c r="G9">
        <v>4</v>
      </c>
      <c r="H9">
        <f t="shared" si="0"/>
        <v>13</v>
      </c>
      <c r="I9" t="str">
        <f t="shared" si="1"/>
        <v>нет</v>
      </c>
    </row>
    <row r="10" spans="1:14" x14ac:dyDescent="0.25">
      <c r="A10">
        <v>9</v>
      </c>
      <c r="B10" t="s">
        <v>18</v>
      </c>
      <c r="C10" t="s">
        <v>9</v>
      </c>
      <c r="D10">
        <v>3</v>
      </c>
      <c r="E10">
        <v>4</v>
      </c>
      <c r="F10">
        <v>3</v>
      </c>
      <c r="G10">
        <v>4</v>
      </c>
      <c r="H10">
        <f t="shared" si="0"/>
        <v>14</v>
      </c>
      <c r="I10" t="str">
        <f t="shared" si="1"/>
        <v>нет</v>
      </c>
    </row>
    <row r="12" spans="1:14" x14ac:dyDescent="0.25">
      <c r="A12" t="s">
        <v>0</v>
      </c>
      <c r="B12" t="s">
        <v>1</v>
      </c>
      <c r="C12" t="s">
        <v>2</v>
      </c>
      <c r="D12" t="s">
        <v>4</v>
      </c>
      <c r="E12" t="s">
        <v>3</v>
      </c>
      <c r="F12" t="s">
        <v>5</v>
      </c>
      <c r="G12" t="s">
        <v>6</v>
      </c>
      <c r="H12" t="s">
        <v>7</v>
      </c>
      <c r="I12" t="s">
        <v>20</v>
      </c>
    </row>
    <row r="13" spans="1:14" x14ac:dyDescent="0.25">
      <c r="A13">
        <v>1</v>
      </c>
      <c r="B13" t="s">
        <v>10</v>
      </c>
      <c r="C13" t="s">
        <v>8</v>
      </c>
      <c r="D13">
        <v>4</v>
      </c>
      <c r="E13">
        <v>4</v>
      </c>
      <c r="F13">
        <v>5</v>
      </c>
      <c r="G13">
        <v>5</v>
      </c>
      <c r="H13">
        <v>18</v>
      </c>
      <c r="I13" t="s">
        <v>25</v>
      </c>
    </row>
    <row r="14" spans="1:14" x14ac:dyDescent="0.25">
      <c r="A14">
        <v>3</v>
      </c>
      <c r="B14" t="s">
        <v>12</v>
      </c>
      <c r="C14" t="s">
        <v>9</v>
      </c>
      <c r="D14">
        <v>5</v>
      </c>
      <c r="E14">
        <v>5</v>
      </c>
      <c r="F14">
        <v>4</v>
      </c>
      <c r="G14">
        <v>4</v>
      </c>
      <c r="H14">
        <v>18</v>
      </c>
      <c r="I14" t="s">
        <v>25</v>
      </c>
    </row>
    <row r="15" spans="1:14" x14ac:dyDescent="0.25">
      <c r="A15">
        <v>4</v>
      </c>
      <c r="B15" t="s">
        <v>13</v>
      </c>
      <c r="C15" t="s">
        <v>8</v>
      </c>
      <c r="D15">
        <v>3</v>
      </c>
      <c r="E15">
        <v>3</v>
      </c>
      <c r="F15">
        <v>5</v>
      </c>
      <c r="G15">
        <v>5</v>
      </c>
      <c r="H15">
        <v>16</v>
      </c>
      <c r="I15" t="s">
        <v>25</v>
      </c>
    </row>
    <row r="16" spans="1:14" x14ac:dyDescent="0.25">
      <c r="A16">
        <v>6</v>
      </c>
      <c r="B16" t="s">
        <v>15</v>
      </c>
      <c r="C16" t="s">
        <v>8</v>
      </c>
      <c r="D16">
        <v>4</v>
      </c>
      <c r="E16">
        <v>5</v>
      </c>
      <c r="F16">
        <v>3</v>
      </c>
      <c r="G16">
        <v>4</v>
      </c>
      <c r="H16">
        <v>16</v>
      </c>
      <c r="I1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I12" sqref="I12:I13"/>
    </sheetView>
  </sheetViews>
  <sheetFormatPr defaultRowHeight="15" x14ac:dyDescent="0.25"/>
  <cols>
    <col min="12" max="12" width="14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21</v>
      </c>
      <c r="L1" t="s">
        <v>4</v>
      </c>
      <c r="M1" t="s">
        <v>3</v>
      </c>
      <c r="N1" t="s">
        <v>7</v>
      </c>
    </row>
    <row r="2" spans="1:14" x14ac:dyDescent="0.25">
      <c r="A2">
        <v>1</v>
      </c>
      <c r="B2" t="s">
        <v>10</v>
      </c>
      <c r="C2" t="s">
        <v>8</v>
      </c>
      <c r="D2">
        <v>4</v>
      </c>
      <c r="E2">
        <v>4</v>
      </c>
      <c r="F2">
        <v>5</v>
      </c>
      <c r="G2">
        <v>5</v>
      </c>
      <c r="H2">
        <f>SUM(D2:G2)</f>
        <v>18</v>
      </c>
      <c r="I2" t="str">
        <f>IF(AND($D2 &gt;=5,$E2=5,$D2+$E2+$F2+$G2&gt;=16), "да", "нет")</f>
        <v>нет</v>
      </c>
      <c r="L2" t="s">
        <v>28</v>
      </c>
      <c r="M2" t="s">
        <v>28</v>
      </c>
      <c r="N2" t="s">
        <v>27</v>
      </c>
    </row>
    <row r="3" spans="1:14" x14ac:dyDescent="0.25">
      <c r="A3">
        <v>2</v>
      </c>
      <c r="B3" t="s">
        <v>11</v>
      </c>
      <c r="C3" t="s">
        <v>8</v>
      </c>
      <c r="D3">
        <v>3</v>
      </c>
      <c r="E3">
        <v>5</v>
      </c>
      <c r="F3">
        <v>3</v>
      </c>
      <c r="G3">
        <v>3</v>
      </c>
      <c r="H3">
        <f t="shared" ref="H3:H10" si="0">SUM(D3:G3)</f>
        <v>14</v>
      </c>
      <c r="I3" t="str">
        <f t="shared" ref="I3:K10" si="1">IF(AND($D3 &gt;=5,$E3=5,$D3+$E3+$F3+$G3&gt;=16), "да", "нет")</f>
        <v>нет</v>
      </c>
    </row>
    <row r="4" spans="1:14" x14ac:dyDescent="0.25">
      <c r="A4">
        <v>3</v>
      </c>
      <c r="B4" t="s">
        <v>12</v>
      </c>
      <c r="C4" t="s">
        <v>9</v>
      </c>
      <c r="D4">
        <v>5</v>
      </c>
      <c r="E4">
        <v>5</v>
      </c>
      <c r="F4">
        <v>4</v>
      </c>
      <c r="G4">
        <v>4</v>
      </c>
      <c r="H4">
        <f t="shared" si="0"/>
        <v>18</v>
      </c>
      <c r="I4" t="str">
        <f t="shared" si="1"/>
        <v>да</v>
      </c>
    </row>
    <row r="5" spans="1:14" x14ac:dyDescent="0.25">
      <c r="A5">
        <v>4</v>
      </c>
      <c r="B5" t="s">
        <v>13</v>
      </c>
      <c r="C5" t="s">
        <v>8</v>
      </c>
      <c r="D5">
        <v>3</v>
      </c>
      <c r="E5">
        <v>3</v>
      </c>
      <c r="F5">
        <v>5</v>
      </c>
      <c r="G5">
        <v>5</v>
      </c>
      <c r="H5">
        <f t="shared" si="0"/>
        <v>16</v>
      </c>
      <c r="I5" t="str">
        <f t="shared" si="1"/>
        <v>нет</v>
      </c>
    </row>
    <row r="6" spans="1:14" x14ac:dyDescent="0.25">
      <c r="A6">
        <v>5</v>
      </c>
      <c r="B6" t="s">
        <v>14</v>
      </c>
      <c r="C6" t="s">
        <v>9</v>
      </c>
      <c r="D6">
        <v>3</v>
      </c>
      <c r="E6">
        <v>5</v>
      </c>
      <c r="F6">
        <v>3</v>
      </c>
      <c r="G6">
        <v>4</v>
      </c>
      <c r="H6">
        <f t="shared" si="0"/>
        <v>15</v>
      </c>
      <c r="I6" t="str">
        <f t="shared" si="1"/>
        <v>нет</v>
      </c>
    </row>
    <row r="7" spans="1:14" x14ac:dyDescent="0.25">
      <c r="A7">
        <v>6</v>
      </c>
      <c r="B7" t="s">
        <v>15</v>
      </c>
      <c r="C7" t="s">
        <v>8</v>
      </c>
      <c r="D7">
        <v>4</v>
      </c>
      <c r="E7">
        <v>5</v>
      </c>
      <c r="F7">
        <v>3</v>
      </c>
      <c r="G7">
        <v>4</v>
      </c>
      <c r="H7">
        <f t="shared" si="0"/>
        <v>16</v>
      </c>
      <c r="I7" t="str">
        <f t="shared" si="1"/>
        <v>нет</v>
      </c>
    </row>
    <row r="8" spans="1:14" x14ac:dyDescent="0.25">
      <c r="A8">
        <v>7</v>
      </c>
      <c r="B8" t="s">
        <v>16</v>
      </c>
      <c r="C8" t="s">
        <v>8</v>
      </c>
      <c r="D8">
        <v>3</v>
      </c>
      <c r="E8">
        <v>3</v>
      </c>
      <c r="F8">
        <v>4</v>
      </c>
      <c r="G8">
        <v>4</v>
      </c>
      <c r="H8">
        <f t="shared" si="0"/>
        <v>14</v>
      </c>
      <c r="I8" t="str">
        <f t="shared" si="1"/>
        <v>нет</v>
      </c>
    </row>
    <row r="9" spans="1:14" x14ac:dyDescent="0.25">
      <c r="A9">
        <v>8</v>
      </c>
      <c r="B9" t="s">
        <v>17</v>
      </c>
      <c r="C9" t="s">
        <v>8</v>
      </c>
      <c r="D9">
        <v>3</v>
      </c>
      <c r="E9">
        <v>3</v>
      </c>
      <c r="F9">
        <v>3</v>
      </c>
      <c r="G9">
        <v>4</v>
      </c>
      <c r="H9">
        <f t="shared" si="0"/>
        <v>13</v>
      </c>
      <c r="I9" t="str">
        <f t="shared" si="1"/>
        <v>нет</v>
      </c>
    </row>
    <row r="10" spans="1:14" x14ac:dyDescent="0.25">
      <c r="A10">
        <v>9</v>
      </c>
      <c r="B10" t="s">
        <v>18</v>
      </c>
      <c r="C10" t="s">
        <v>9</v>
      </c>
      <c r="D10">
        <v>3</v>
      </c>
      <c r="E10">
        <v>4</v>
      </c>
      <c r="F10">
        <v>3</v>
      </c>
      <c r="G10">
        <v>4</v>
      </c>
      <c r="H10">
        <f t="shared" si="0"/>
        <v>14</v>
      </c>
      <c r="I10" t="str">
        <f t="shared" si="1"/>
        <v>нет</v>
      </c>
    </row>
    <row r="12" spans="1:14" x14ac:dyDescent="0.25">
      <c r="A12" t="s">
        <v>0</v>
      </c>
      <c r="B12" t="s">
        <v>1</v>
      </c>
      <c r="C12" t="s">
        <v>2</v>
      </c>
      <c r="D12" t="s">
        <v>4</v>
      </c>
      <c r="E12" t="s">
        <v>3</v>
      </c>
      <c r="F12" t="s">
        <v>5</v>
      </c>
      <c r="G12" t="s">
        <v>6</v>
      </c>
      <c r="H12" t="s">
        <v>7</v>
      </c>
      <c r="I12" t="s">
        <v>21</v>
      </c>
    </row>
    <row r="13" spans="1:14" x14ac:dyDescent="0.25">
      <c r="A13">
        <v>3</v>
      </c>
      <c r="B13" t="s">
        <v>12</v>
      </c>
      <c r="C13" t="s">
        <v>9</v>
      </c>
      <c r="D13">
        <v>5</v>
      </c>
      <c r="E13">
        <v>5</v>
      </c>
      <c r="F13">
        <v>4</v>
      </c>
      <c r="G13">
        <v>4</v>
      </c>
      <c r="H13">
        <v>18</v>
      </c>
      <c r="I1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A12" sqref="A12"/>
    </sheetView>
  </sheetViews>
  <sheetFormatPr defaultRowHeight="15" x14ac:dyDescent="0.25"/>
  <cols>
    <col min="2" max="2" width="12" customWidth="1"/>
    <col min="9" max="9" width="16" customWidth="1"/>
    <col min="11" max="11" width="11.85546875" customWidth="1"/>
    <col min="12" max="12" width="15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29</v>
      </c>
      <c r="K1" t="s">
        <v>2</v>
      </c>
      <c r="L1" t="s">
        <v>4</v>
      </c>
      <c r="M1" t="s">
        <v>3</v>
      </c>
      <c r="N1" t="s">
        <v>7</v>
      </c>
    </row>
    <row r="2" spans="1:14" x14ac:dyDescent="0.25">
      <c r="A2">
        <v>1</v>
      </c>
      <c r="B2" t="s">
        <v>10</v>
      </c>
      <c r="C2" t="s">
        <v>8</v>
      </c>
      <c r="D2">
        <v>4</v>
      </c>
      <c r="E2">
        <v>4</v>
      </c>
      <c r="F2">
        <v>5</v>
      </c>
      <c r="G2">
        <v>5</v>
      </c>
      <c r="H2">
        <f>SUM(D2:G2)</f>
        <v>18</v>
      </c>
      <c r="I2" t="str">
        <f>IF(OR(AND(OR($D2 &gt;=5,$E2=5),$D2+$E2+$F2+$G2&gt;=16),AND(OR($D2 &gt;=5,$E2=5),AND($D2+$E2+$F2+$G2&lt;16,C2="Да"))), "да", "нет")</f>
        <v>нет</v>
      </c>
      <c r="L2">
        <v>5</v>
      </c>
      <c r="N2" t="s">
        <v>27</v>
      </c>
    </row>
    <row r="3" spans="1:14" x14ac:dyDescent="0.25">
      <c r="A3">
        <v>2</v>
      </c>
      <c r="B3" t="s">
        <v>11</v>
      </c>
      <c r="C3" t="s">
        <v>8</v>
      </c>
      <c r="D3">
        <v>3</v>
      </c>
      <c r="E3">
        <v>5</v>
      </c>
      <c r="F3">
        <v>3</v>
      </c>
      <c r="G3">
        <v>3</v>
      </c>
      <c r="H3">
        <f t="shared" ref="H3:H10" si="0">SUM(D3:G3)</f>
        <v>14</v>
      </c>
      <c r="I3" t="str">
        <f t="shared" ref="I3:I10" si="1">IF(OR(AND(OR($D3 &gt;=5,$E3=5),$D3+$E3+$F3+$G3&gt;=16),AND(OR($D3 &gt;=5,$E3=5),AND($D3+$E3+$F3+$G3&lt;16,C3="Да"))), "да", "нет")</f>
        <v>нет</v>
      </c>
      <c r="M3">
        <v>5</v>
      </c>
      <c r="N3" t="s">
        <v>27</v>
      </c>
    </row>
    <row r="4" spans="1:14" x14ac:dyDescent="0.25">
      <c r="A4">
        <v>3</v>
      </c>
      <c r="B4" t="s">
        <v>12</v>
      </c>
      <c r="C4" t="s">
        <v>9</v>
      </c>
      <c r="D4">
        <v>5</v>
      </c>
      <c r="E4">
        <v>5</v>
      </c>
      <c r="F4">
        <v>4</v>
      </c>
      <c r="G4">
        <v>4</v>
      </c>
      <c r="H4">
        <f t="shared" si="0"/>
        <v>18</v>
      </c>
      <c r="I4" t="str">
        <f t="shared" si="1"/>
        <v>да</v>
      </c>
      <c r="K4" t="s">
        <v>9</v>
      </c>
      <c r="L4">
        <v>5</v>
      </c>
      <c r="N4" t="s">
        <v>30</v>
      </c>
    </row>
    <row r="5" spans="1:14" x14ac:dyDescent="0.25">
      <c r="A5">
        <v>4</v>
      </c>
      <c r="B5" t="s">
        <v>13</v>
      </c>
      <c r="C5" t="s">
        <v>8</v>
      </c>
      <c r="D5">
        <v>3</v>
      </c>
      <c r="E5">
        <v>3</v>
      </c>
      <c r="F5">
        <v>5</v>
      </c>
      <c r="G5">
        <v>5</v>
      </c>
      <c r="H5">
        <f t="shared" si="0"/>
        <v>16</v>
      </c>
      <c r="I5" t="str">
        <f t="shared" si="1"/>
        <v>нет</v>
      </c>
      <c r="K5" t="s">
        <v>9</v>
      </c>
      <c r="M5">
        <v>5</v>
      </c>
      <c r="N5" t="s">
        <v>30</v>
      </c>
    </row>
    <row r="6" spans="1:14" x14ac:dyDescent="0.25">
      <c r="A6">
        <v>5</v>
      </c>
      <c r="B6" t="s">
        <v>14</v>
      </c>
      <c r="C6" t="s">
        <v>9</v>
      </c>
      <c r="D6">
        <v>3</v>
      </c>
      <c r="E6">
        <v>5</v>
      </c>
      <c r="F6">
        <v>3</v>
      </c>
      <c r="G6">
        <v>4</v>
      </c>
      <c r="H6">
        <f t="shared" si="0"/>
        <v>15</v>
      </c>
      <c r="I6" t="str">
        <f t="shared" si="1"/>
        <v>да</v>
      </c>
    </row>
    <row r="7" spans="1:14" x14ac:dyDescent="0.25">
      <c r="A7">
        <v>6</v>
      </c>
      <c r="B7" t="s">
        <v>15</v>
      </c>
      <c r="C7" t="s">
        <v>8</v>
      </c>
      <c r="D7">
        <v>4</v>
      </c>
      <c r="E7">
        <v>5</v>
      </c>
      <c r="F7">
        <v>3</v>
      </c>
      <c r="G7">
        <v>4</v>
      </c>
      <c r="H7">
        <f t="shared" si="0"/>
        <v>16</v>
      </c>
      <c r="I7" t="str">
        <f t="shared" si="1"/>
        <v>да</v>
      </c>
    </row>
    <row r="8" spans="1:14" x14ac:dyDescent="0.25">
      <c r="A8">
        <v>7</v>
      </c>
      <c r="B8" t="s">
        <v>16</v>
      </c>
      <c r="C8" t="s">
        <v>8</v>
      </c>
      <c r="D8">
        <v>3</v>
      </c>
      <c r="E8">
        <v>3</v>
      </c>
      <c r="F8">
        <v>4</v>
      </c>
      <c r="G8">
        <v>4</v>
      </c>
      <c r="H8">
        <f t="shared" si="0"/>
        <v>14</v>
      </c>
      <c r="I8" t="str">
        <f t="shared" si="1"/>
        <v>нет</v>
      </c>
    </row>
    <row r="9" spans="1:14" x14ac:dyDescent="0.25">
      <c r="A9">
        <v>8</v>
      </c>
      <c r="B9" t="s">
        <v>17</v>
      </c>
      <c r="C9" t="s">
        <v>8</v>
      </c>
      <c r="D9">
        <v>3</v>
      </c>
      <c r="E9">
        <v>3</v>
      </c>
      <c r="F9">
        <v>3</v>
      </c>
      <c r="G9">
        <v>4</v>
      </c>
      <c r="H9">
        <f t="shared" si="0"/>
        <v>13</v>
      </c>
      <c r="I9" t="str">
        <f t="shared" si="1"/>
        <v>нет</v>
      </c>
    </row>
    <row r="10" spans="1:14" x14ac:dyDescent="0.25">
      <c r="A10">
        <v>9</v>
      </c>
      <c r="B10" t="s">
        <v>18</v>
      </c>
      <c r="C10" t="s">
        <v>9</v>
      </c>
      <c r="D10">
        <v>3</v>
      </c>
      <c r="E10">
        <v>4</v>
      </c>
      <c r="F10">
        <v>3</v>
      </c>
      <c r="G10">
        <v>4</v>
      </c>
      <c r="H10">
        <f t="shared" si="0"/>
        <v>14</v>
      </c>
      <c r="I10" t="str">
        <f t="shared" si="1"/>
        <v>нет</v>
      </c>
    </row>
    <row r="12" spans="1:14" x14ac:dyDescent="0.25">
      <c r="A12" t="s">
        <v>0</v>
      </c>
      <c r="B12" t="s">
        <v>1</v>
      </c>
      <c r="C12" t="s">
        <v>2</v>
      </c>
      <c r="D12" t="s">
        <v>4</v>
      </c>
      <c r="E12" t="s">
        <v>3</v>
      </c>
      <c r="F12" t="s">
        <v>5</v>
      </c>
      <c r="G12" t="s">
        <v>6</v>
      </c>
      <c r="H12" t="s">
        <v>7</v>
      </c>
    </row>
    <row r="13" spans="1:14" x14ac:dyDescent="0.25">
      <c r="A13">
        <v>3</v>
      </c>
      <c r="B13" t="s">
        <v>12</v>
      </c>
      <c r="C13" t="s">
        <v>9</v>
      </c>
      <c r="D13">
        <v>5</v>
      </c>
      <c r="E13">
        <v>5</v>
      </c>
      <c r="F13">
        <v>4</v>
      </c>
      <c r="G13">
        <v>4</v>
      </c>
      <c r="H13">
        <v>18</v>
      </c>
    </row>
    <row r="14" spans="1:14" x14ac:dyDescent="0.25">
      <c r="A14">
        <v>5</v>
      </c>
      <c r="B14" t="s">
        <v>14</v>
      </c>
      <c r="C14" t="s">
        <v>9</v>
      </c>
      <c r="D14">
        <v>3</v>
      </c>
      <c r="E14">
        <v>5</v>
      </c>
      <c r="F14">
        <v>3</v>
      </c>
      <c r="G14">
        <v>4</v>
      </c>
      <c r="H14">
        <v>15</v>
      </c>
    </row>
    <row r="15" spans="1:14" x14ac:dyDescent="0.25">
      <c r="A15">
        <v>6</v>
      </c>
      <c r="B15" t="s">
        <v>15</v>
      </c>
      <c r="C15" t="s">
        <v>8</v>
      </c>
      <c r="D15">
        <v>4</v>
      </c>
      <c r="E15">
        <v>5</v>
      </c>
      <c r="F15">
        <v>3</v>
      </c>
      <c r="G15">
        <v>4</v>
      </c>
      <c r="H1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8</vt:i4>
      </vt:variant>
    </vt:vector>
  </HeadingPairs>
  <TitlesOfParts>
    <vt:vector size="13" baseType="lpstr">
      <vt:lpstr>Лист1</vt:lpstr>
      <vt:lpstr>зачислен 1</vt:lpstr>
      <vt:lpstr>зачислен 2</vt:lpstr>
      <vt:lpstr>зачислен 3</vt:lpstr>
      <vt:lpstr>зачислен 4</vt:lpstr>
      <vt:lpstr>'зачислен 1'!Извлечь</vt:lpstr>
      <vt:lpstr>'зачислен 2'!Извлечь</vt:lpstr>
      <vt:lpstr>'зачислен 3'!Извлечь</vt:lpstr>
      <vt:lpstr>'зачислен 4'!Извлечь</vt:lpstr>
      <vt:lpstr>'зачислен 1'!Критерии</vt:lpstr>
      <vt:lpstr>'зачислен 2'!Критерии</vt:lpstr>
      <vt:lpstr>'зачислен 3'!Критерии</vt:lpstr>
      <vt:lpstr>'зачислен 4'!Критерии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2006-12-31T12:00:42Z</dcterms:modified>
</cp:coreProperties>
</file>