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Росток" sheetId="1" r:id="rId1"/>
    <sheet name="Исходные данные" sheetId="2" r:id="rId2"/>
    <sheet name="Итог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B2" i="3"/>
  <c r="B1" i="3"/>
  <c r="C3" i="1"/>
  <c r="C4" i="1"/>
  <c r="C5" i="1"/>
  <c r="C6" i="1"/>
  <c r="C2" i="1"/>
  <c r="E4" i="1"/>
  <c r="E6" i="1"/>
  <c r="E2" i="1"/>
  <c r="E5" i="1" l="1"/>
  <c r="E3" i="1"/>
  <c r="B3" i="3" s="1"/>
</calcChain>
</file>

<file path=xl/sharedStrings.xml><?xml version="1.0" encoding="utf-8"?>
<sst xmlns="http://schemas.openxmlformats.org/spreadsheetml/2006/main" count="20" uniqueCount="20">
  <si>
    <t>Совхоз</t>
  </si>
  <si>
    <t>Площадь (га)</t>
  </si>
  <si>
    <t>Сумма</t>
  </si>
  <si>
    <t>Кол-во яблонь</t>
  </si>
  <si>
    <t>Кол-во груш</t>
  </si>
  <si>
    <t>Степной</t>
  </si>
  <si>
    <t>Лесной</t>
  </si>
  <si>
    <t>Ягодный</t>
  </si>
  <si>
    <t>Майский</t>
  </si>
  <si>
    <t>Самарский</t>
  </si>
  <si>
    <t>Перевод 1 га в м*м</t>
  </si>
  <si>
    <t>Площадь земли под одну яблоню</t>
  </si>
  <si>
    <t>Площадь земли под одну грушу</t>
  </si>
  <si>
    <t>Площадь земли в м*м, отводимая каждым совхозом под посадку яблонь</t>
  </si>
  <si>
    <t>Площадь земли в м*м, отводимая каждым совхозом под посадку груш</t>
  </si>
  <si>
    <t>Стоимость одной груши в рублях</t>
  </si>
  <si>
    <t>Стоимость одной яблони в рублях</t>
  </si>
  <si>
    <t>Общее кол-во яблонь</t>
  </si>
  <si>
    <t>Общее кол-во груш</t>
  </si>
  <si>
    <t>Общая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</si>
</sst>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2236001749781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Росток!$A$2:$A$6</c:f>
              <c:strCache>
                <c:ptCount val="5"/>
                <c:pt idx="0">
                  <c:v>Степной</c:v>
                </c:pt>
                <c:pt idx="1">
                  <c:v>Лесной</c:v>
                </c:pt>
                <c:pt idx="2">
                  <c:v>Ягодный</c:v>
                </c:pt>
                <c:pt idx="3">
                  <c:v>Майский</c:v>
                </c:pt>
                <c:pt idx="4">
                  <c:v>Самарский</c:v>
                </c:pt>
              </c:strCache>
            </c:strRef>
          </c:cat>
          <c:val>
            <c:numRef>
              <c:f>Росток!$B$2:$B$6</c:f>
              <c:numCache>
                <c:formatCode>General</c:formatCode>
                <c:ptCount val="5"/>
                <c:pt idx="0">
                  <c:v>13</c:v>
                </c:pt>
                <c:pt idx="1">
                  <c:v>18</c:v>
                </c:pt>
                <c:pt idx="2">
                  <c:v>16</c:v>
                </c:pt>
                <c:pt idx="3">
                  <c:v>20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8-4F6D-B68B-F272DAD2BD8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46981627296588"/>
          <c:y val="0.17171296296296298"/>
          <c:w val="0.86486351706036746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Росток!$A$2:$A$6</c:f>
              <c:strCache>
                <c:ptCount val="5"/>
                <c:pt idx="0">
                  <c:v>Степной</c:v>
                </c:pt>
                <c:pt idx="1">
                  <c:v>Лесной</c:v>
                </c:pt>
                <c:pt idx="2">
                  <c:v>Ягодный</c:v>
                </c:pt>
                <c:pt idx="3">
                  <c:v>Майский</c:v>
                </c:pt>
                <c:pt idx="4">
                  <c:v>Самарский</c:v>
                </c:pt>
              </c:strCache>
            </c:strRef>
          </c:cat>
          <c:val>
            <c:numRef>
              <c:f>Росток!$C$2:$C$6</c:f>
              <c:numCache>
                <c:formatCode>General</c:formatCode>
                <c:ptCount val="5"/>
                <c:pt idx="0">
                  <c:v>19500</c:v>
                </c:pt>
                <c:pt idx="1">
                  <c:v>26999.999999999996</c:v>
                </c:pt>
                <c:pt idx="2">
                  <c:v>24000</c:v>
                </c:pt>
                <c:pt idx="3">
                  <c:v>30000</c:v>
                </c:pt>
                <c:pt idx="4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1-4A50-A1B0-5FE64640497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Росток!$A$2:$A$6</c:f>
              <c:strCache>
                <c:ptCount val="5"/>
                <c:pt idx="0">
                  <c:v>Степной</c:v>
                </c:pt>
                <c:pt idx="1">
                  <c:v>Лесной</c:v>
                </c:pt>
                <c:pt idx="2">
                  <c:v>Ягодный</c:v>
                </c:pt>
                <c:pt idx="3">
                  <c:v>Майский</c:v>
                </c:pt>
                <c:pt idx="4">
                  <c:v>Самарский</c:v>
                </c:pt>
              </c:strCache>
            </c:strRef>
          </c:cat>
          <c:val>
            <c:numRef>
              <c:f>Росток!$D$2:$D$6</c:f>
              <c:numCache>
                <c:formatCode>0</c:formatCode>
                <c:ptCount val="5"/>
                <c:pt idx="0">
                  <c:v>5777</c:v>
                </c:pt>
                <c:pt idx="1">
                  <c:v>8000</c:v>
                </c:pt>
                <c:pt idx="2">
                  <c:v>7111</c:v>
                </c:pt>
                <c:pt idx="3">
                  <c:v>8888</c:v>
                </c:pt>
                <c:pt idx="4">
                  <c:v>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61-4A50-A1B0-5FE646404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506368"/>
        <c:axId val="311506784"/>
      </c:barChart>
      <c:catAx>
        <c:axId val="31150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1506784"/>
        <c:crosses val="autoZero"/>
        <c:auto val="1"/>
        <c:lblAlgn val="ctr"/>
        <c:lblOffset val="100"/>
        <c:noMultiLvlLbl val="0"/>
      </c:catAx>
      <c:valAx>
        <c:axId val="31150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150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0</xdr:row>
      <xdr:rowOff>185737</xdr:rowOff>
    </xdr:from>
    <xdr:to>
      <xdr:col>13</xdr:col>
      <xdr:colOff>285750</xdr:colOff>
      <xdr:row>15</xdr:row>
      <xdr:rowOff>71437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6</xdr:row>
      <xdr:rowOff>14287</xdr:rowOff>
    </xdr:from>
    <xdr:to>
      <xdr:col>5</xdr:col>
      <xdr:colOff>600075</xdr:colOff>
      <xdr:row>20</xdr:row>
      <xdr:rowOff>90487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J20" sqref="J20"/>
    </sheetView>
  </sheetViews>
  <sheetFormatPr defaultRowHeight="15" x14ac:dyDescent="0.25"/>
  <cols>
    <col min="2" max="2" width="14.28515625" customWidth="1"/>
    <col min="3" max="4" width="16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25">
      <c r="A2" t="s">
        <v>5</v>
      </c>
      <c r="B2">
        <v>13</v>
      </c>
      <c r="C2">
        <f>$B2*'Исходные данные'!$B$4/'Исходные данные'!$B$2*'Исходные данные'!$B$1</f>
        <v>19500</v>
      </c>
      <c r="D2" s="1">
        <f>ROUNDDOWN($B2*'Исходные данные'!$B$5*'Исходные данные'!$B$1/'Исходные данные'!$B$3,0)</f>
        <v>5777</v>
      </c>
      <c r="E2">
        <f>$C2*'Исходные данные'!$B$6+'Исходные данные'!$B$7*$D2</f>
        <v>1867620</v>
      </c>
    </row>
    <row r="3" spans="1:5" x14ac:dyDescent="0.25">
      <c r="A3" t="s">
        <v>6</v>
      </c>
      <c r="B3">
        <v>18</v>
      </c>
      <c r="C3">
        <f>$B3*'Исходные данные'!$B$4/'Исходные данные'!$B$2*'Исходные данные'!$B$1</f>
        <v>26999.999999999996</v>
      </c>
      <c r="D3" s="1">
        <f>ROUNDDOWN($B3*'Исходные данные'!$B$5*'Исходные данные'!$B$1/'Исходные данные'!$B$3,0)</f>
        <v>8000</v>
      </c>
      <c r="E3">
        <f>$C3*'Исходные данные'!$B$6+'Исходные данные'!$B$7*$D3</f>
        <v>2585999.9999999995</v>
      </c>
    </row>
    <row r="4" spans="1:5" x14ac:dyDescent="0.25">
      <c r="A4" t="s">
        <v>7</v>
      </c>
      <c r="B4">
        <v>16</v>
      </c>
      <c r="C4">
        <f>$B4*'Исходные данные'!$B$4/'Исходные данные'!$B$2*'Исходные данные'!$B$1</f>
        <v>24000</v>
      </c>
      <c r="D4" s="1">
        <f>ROUNDDOWN($B4*'Исходные данные'!$B$5*'Исходные данные'!$B$1/'Исходные данные'!$B$3,0)</f>
        <v>7111</v>
      </c>
      <c r="E4">
        <f>$C4*'Исходные данные'!$B$6+'Исходные данные'!$B$7*$D4</f>
        <v>2298660</v>
      </c>
    </row>
    <row r="5" spans="1:5" x14ac:dyDescent="0.25">
      <c r="A5" t="s">
        <v>8</v>
      </c>
      <c r="B5">
        <v>20</v>
      </c>
      <c r="C5">
        <f>$B5*'Исходные данные'!$B$4/'Исходные данные'!$B$2*'Исходные данные'!$B$1</f>
        <v>30000</v>
      </c>
      <c r="D5" s="1">
        <f>ROUNDDOWN($B5*'Исходные данные'!$B$5*'Исходные данные'!$B$1/'Исходные данные'!$B$3,0)</f>
        <v>8888</v>
      </c>
      <c r="E5">
        <f>$C5*'Исходные данные'!$B$6+'Исходные данные'!$B$7*$D5</f>
        <v>2873280</v>
      </c>
    </row>
    <row r="6" spans="1:5" x14ac:dyDescent="0.25">
      <c r="A6" t="s">
        <v>9</v>
      </c>
      <c r="B6">
        <v>15</v>
      </c>
      <c r="C6">
        <f>$B6*'Исходные данные'!$B$4/'Исходные данные'!$B$2*'Исходные данные'!$B$1</f>
        <v>22500</v>
      </c>
      <c r="D6" s="1">
        <f>ROUNDDOWN($B6*'Исходные данные'!$B$5*'Исходные данные'!$B$1/'Исходные данные'!$B$3,0)</f>
        <v>6666</v>
      </c>
      <c r="E6">
        <f>$C6*'Исходные данные'!$B$6+'Исходные данные'!$B$7*$D6</f>
        <v>2154960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8" sqref="B8"/>
    </sheetView>
  </sheetViews>
  <sheetFormatPr defaultRowHeight="15" x14ac:dyDescent="0.25"/>
  <cols>
    <col min="1" max="1" width="67" customWidth="1"/>
    <col min="2" max="2" width="14.42578125" customWidth="1"/>
    <col min="3" max="3" width="16.140625" customWidth="1"/>
    <col min="4" max="4" width="14.28515625" customWidth="1"/>
  </cols>
  <sheetData>
    <row r="1" spans="1:2" x14ac:dyDescent="0.25">
      <c r="A1" t="s">
        <v>10</v>
      </c>
      <c r="B1">
        <v>10000</v>
      </c>
    </row>
    <row r="2" spans="1:2" x14ac:dyDescent="0.25">
      <c r="A2" t="s">
        <v>11</v>
      </c>
      <c r="B2">
        <v>4</v>
      </c>
    </row>
    <row r="3" spans="1:2" x14ac:dyDescent="0.25">
      <c r="A3" t="s">
        <v>12</v>
      </c>
      <c r="B3">
        <v>9</v>
      </c>
    </row>
    <row r="4" spans="1:2" x14ac:dyDescent="0.25">
      <c r="A4" t="s">
        <v>13</v>
      </c>
      <c r="B4">
        <v>0.6</v>
      </c>
    </row>
    <row r="5" spans="1:2" x14ac:dyDescent="0.25">
      <c r="A5" t="s">
        <v>14</v>
      </c>
      <c r="B5">
        <v>0.4</v>
      </c>
    </row>
    <row r="6" spans="1:2" x14ac:dyDescent="0.25">
      <c r="A6" t="s">
        <v>15</v>
      </c>
      <c r="B6">
        <v>78</v>
      </c>
    </row>
    <row r="7" spans="1:2" x14ac:dyDescent="0.25">
      <c r="A7" t="s">
        <v>16</v>
      </c>
      <c r="B7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" sqref="B1:B3"/>
    </sheetView>
  </sheetViews>
  <sheetFormatPr defaultRowHeight="15" x14ac:dyDescent="0.25"/>
  <cols>
    <col min="1" max="1" width="21.28515625" customWidth="1"/>
    <col min="2" max="2" width="9.85546875" bestFit="1" customWidth="1"/>
  </cols>
  <sheetData>
    <row r="1" spans="1:2" x14ac:dyDescent="0.25">
      <c r="A1" t="s">
        <v>17</v>
      </c>
      <c r="B1" s="2">
        <f>SUM(Росток!C2:C6)</f>
        <v>123000</v>
      </c>
    </row>
    <row r="2" spans="1:2" x14ac:dyDescent="0.25">
      <c r="A2" t="s">
        <v>18</v>
      </c>
      <c r="B2" s="2">
        <f>SUM(Росток!D2:D6)</f>
        <v>36442</v>
      </c>
    </row>
    <row r="3" spans="1:2" x14ac:dyDescent="0.25">
      <c r="A3" t="s">
        <v>19</v>
      </c>
      <c r="B3" s="2">
        <f>SUM(Росток!E2:E6)</f>
        <v>11780520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Росток</vt:lpstr>
      <vt:lpstr>Исходные данные</vt:lpstr>
      <vt:lpstr>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2006-12-31T12:43:57Z</dcterms:modified>
</cp:coreProperties>
</file>