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2" i="5"/>
  <c r="D9" i="5"/>
  <c r="D8" i="5"/>
  <c r="D7" i="5"/>
  <c r="D6" i="5"/>
  <c r="D5" i="5"/>
  <c r="D4" i="5"/>
  <c r="D3" i="5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F3" i="3"/>
  <c r="F2" i="3"/>
  <c r="F4" i="3"/>
  <c r="F5" i="3"/>
  <c r="F6" i="3"/>
  <c r="F7" i="3"/>
  <c r="F8" i="3"/>
  <c r="F9" i="3"/>
  <c r="F10" i="3"/>
  <c r="F11" i="3"/>
  <c r="E3" i="3"/>
  <c r="E4" i="3"/>
  <c r="E5" i="3"/>
  <c r="E6" i="3"/>
  <c r="E7" i="3"/>
  <c r="E8" i="3"/>
  <c r="E9" i="3"/>
  <c r="E10" i="3"/>
  <c r="E11" i="3"/>
  <c r="E2" i="3"/>
  <c r="D12" i="2"/>
  <c r="D3" i="2"/>
  <c r="D4" i="2"/>
  <c r="D5" i="2"/>
  <c r="D6" i="2"/>
  <c r="D7" i="2"/>
  <c r="D8" i="2"/>
  <c r="D9" i="2"/>
  <c r="D10" i="2"/>
  <c r="D11" i="2"/>
  <c r="D2" i="2"/>
  <c r="E10" i="5" l="1"/>
  <c r="Q2" i="1"/>
  <c r="N3" i="1"/>
  <c r="N4" i="1"/>
  <c r="N5" i="1"/>
  <c r="N2" i="1"/>
  <c r="K4" i="1"/>
  <c r="K3" i="1"/>
  <c r="K2" i="1"/>
</calcChain>
</file>

<file path=xl/sharedStrings.xml><?xml version="1.0" encoding="utf-8"?>
<sst xmlns="http://schemas.openxmlformats.org/spreadsheetml/2006/main" count="78" uniqueCount="54">
  <si>
    <t>Лимонад</t>
  </si>
  <si>
    <t>Кусок торта</t>
  </si>
  <si>
    <t>Тик Так</t>
  </si>
  <si>
    <t>Буратино</t>
  </si>
  <si>
    <t>Мальвина</t>
  </si>
  <si>
    <t>Пьеро</t>
  </si>
  <si>
    <t>Дуремар</t>
  </si>
  <si>
    <t>1 задание</t>
  </si>
  <si>
    <t>Торт</t>
  </si>
  <si>
    <t>2 задание</t>
  </si>
  <si>
    <t>3 задание</t>
  </si>
  <si>
    <t>Вася</t>
  </si>
  <si>
    <t>Маша</t>
  </si>
  <si>
    <t>Антон</t>
  </si>
  <si>
    <t>Сергей</t>
  </si>
  <si>
    <t>Оксана</t>
  </si>
  <si>
    <t>Егор</t>
  </si>
  <si>
    <t>Никита</t>
  </si>
  <si>
    <t>Ирина</t>
  </si>
  <si>
    <t>Кристина</t>
  </si>
  <si>
    <t>Дарья</t>
  </si>
  <si>
    <t>Потрачено кВт/ч</t>
  </si>
  <si>
    <t>Персональная скидка</t>
  </si>
  <si>
    <t>К оплате</t>
  </si>
  <si>
    <t>Цена 1 кВт</t>
  </si>
  <si>
    <t>1 рабочий</t>
  </si>
  <si>
    <t>3 рабочий</t>
  </si>
  <si>
    <t>2 рабочий</t>
  </si>
  <si>
    <t>4 рабочий</t>
  </si>
  <si>
    <t>5 рабочий</t>
  </si>
  <si>
    <t>6 рабочий</t>
  </si>
  <si>
    <t>7 рабочий</t>
  </si>
  <si>
    <t>8 рабочий</t>
  </si>
  <si>
    <t>9 рабочий</t>
  </si>
  <si>
    <t>10 рабочий</t>
  </si>
  <si>
    <t>Собрал</t>
  </si>
  <si>
    <t>Норма</t>
  </si>
  <si>
    <t>Стоимость 1 кг</t>
  </si>
  <si>
    <t>Стоимость более нормы</t>
  </si>
  <si>
    <t>Выручка</t>
  </si>
  <si>
    <t>№ п/п</t>
  </si>
  <si>
    <t>Должность</t>
  </si>
  <si>
    <t>Кол-во</t>
  </si>
  <si>
    <t>Ставка</t>
  </si>
  <si>
    <t>Фонд оплаты</t>
  </si>
  <si>
    <t>Санитарка</t>
  </si>
  <si>
    <t>Медсестра</t>
  </si>
  <si>
    <t>Врач</t>
  </si>
  <si>
    <t>Заведующий отделением</t>
  </si>
  <si>
    <t>Заведующий аптекой</t>
  </si>
  <si>
    <t>Завхоз</t>
  </si>
  <si>
    <t>Главврач</t>
  </si>
  <si>
    <t>Заведующий больницей</t>
  </si>
  <si>
    <t>Фонд оплаты труда: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</si>
</sst>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Q2" sqref="Q2"/>
    </sheetView>
  </sheetViews>
  <sheetFormatPr defaultRowHeight="15" x14ac:dyDescent="0.25"/>
  <sheetData>
    <row r="1" spans="1:17" x14ac:dyDescent="0.25">
      <c r="B1" t="s">
        <v>0</v>
      </c>
      <c r="C1" t="s">
        <v>1</v>
      </c>
      <c r="D1" t="s">
        <v>2</v>
      </c>
      <c r="F1" t="s">
        <v>0</v>
      </c>
      <c r="G1" t="s">
        <v>1</v>
      </c>
      <c r="H1" t="s">
        <v>2</v>
      </c>
      <c r="K1" t="s">
        <v>7</v>
      </c>
      <c r="N1" t="s">
        <v>9</v>
      </c>
      <c r="Q1" t="s">
        <v>10</v>
      </c>
    </row>
    <row r="2" spans="1:17" x14ac:dyDescent="0.25">
      <c r="A2" t="s">
        <v>3</v>
      </c>
      <c r="B2">
        <v>5</v>
      </c>
      <c r="C2">
        <v>4</v>
      </c>
      <c r="D2">
        <v>20</v>
      </c>
      <c r="F2">
        <v>15</v>
      </c>
      <c r="G2">
        <v>150</v>
      </c>
      <c r="H2">
        <v>2</v>
      </c>
      <c r="J2" t="s">
        <v>0</v>
      </c>
      <c r="K2">
        <f>SUM(B2:B5)</f>
        <v>10</v>
      </c>
      <c r="M2" t="s">
        <v>3</v>
      </c>
      <c r="N2">
        <f>B2*$F$2+C2*$G$2+D2*$H$2</f>
        <v>715</v>
      </c>
      <c r="Q2">
        <f>SUM(B2:B5)*F2+SUM(C2:C5)*G2+SUM(D2:D5)*H2</f>
        <v>1694</v>
      </c>
    </row>
    <row r="3" spans="1:17" x14ac:dyDescent="0.25">
      <c r="A3" t="s">
        <v>4</v>
      </c>
      <c r="B3">
        <v>1</v>
      </c>
      <c r="C3">
        <v>1</v>
      </c>
      <c r="D3">
        <v>2</v>
      </c>
      <c r="J3" t="s">
        <v>8</v>
      </c>
      <c r="K3">
        <f>SUM(C2:C5)</f>
        <v>10</v>
      </c>
      <c r="M3" t="s">
        <v>4</v>
      </c>
      <c r="N3">
        <f t="shared" ref="N3:N5" si="0">B3*$F$2+C3*$G$2+D3*$H$2</f>
        <v>169</v>
      </c>
    </row>
    <row r="4" spans="1:17" x14ac:dyDescent="0.25">
      <c r="A4" t="s">
        <v>5</v>
      </c>
      <c r="B4">
        <v>2</v>
      </c>
      <c r="C4">
        <v>2</v>
      </c>
      <c r="D4">
        <v>0</v>
      </c>
      <c r="J4" t="s">
        <v>2</v>
      </c>
      <c r="K4">
        <f>SUM(D2:D5)</f>
        <v>22</v>
      </c>
      <c r="M4" t="s">
        <v>5</v>
      </c>
      <c r="N4">
        <f t="shared" si="0"/>
        <v>330</v>
      </c>
    </row>
    <row r="5" spans="1:17" x14ac:dyDescent="0.25">
      <c r="A5" t="s">
        <v>6</v>
      </c>
      <c r="B5">
        <v>2</v>
      </c>
      <c r="C5">
        <v>3</v>
      </c>
      <c r="D5">
        <v>0</v>
      </c>
      <c r="M5" t="s">
        <v>6</v>
      </c>
      <c r="N5">
        <f t="shared" si="0"/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2" sqref="D2"/>
    </sheetView>
  </sheetViews>
  <sheetFormatPr defaultRowHeight="15" x14ac:dyDescent="0.25"/>
  <cols>
    <col min="2" max="2" width="24.85546875" customWidth="1"/>
    <col min="3" max="3" width="26.28515625" customWidth="1"/>
  </cols>
  <sheetData>
    <row r="1" spans="1:7" x14ac:dyDescent="0.25">
      <c r="B1" t="s">
        <v>21</v>
      </c>
      <c r="C1" t="s">
        <v>22</v>
      </c>
      <c r="D1" t="s">
        <v>23</v>
      </c>
      <c r="G1" t="s">
        <v>24</v>
      </c>
    </row>
    <row r="2" spans="1:7" x14ac:dyDescent="0.25">
      <c r="A2" t="s">
        <v>11</v>
      </c>
      <c r="B2">
        <v>215</v>
      </c>
      <c r="C2">
        <v>0.5</v>
      </c>
      <c r="D2">
        <f>$G$2*$B2-$G$2*$B2*$C2</f>
        <v>322.5</v>
      </c>
      <c r="G2">
        <v>3</v>
      </c>
    </row>
    <row r="3" spans="1:7" x14ac:dyDescent="0.25">
      <c r="A3" t="s">
        <v>12</v>
      </c>
      <c r="B3">
        <v>216</v>
      </c>
      <c r="D3">
        <f t="shared" ref="D3:D11" si="0">$G$2*$B3-$G$2*$B3*$C3</f>
        <v>648</v>
      </c>
    </row>
    <row r="4" spans="1:7" x14ac:dyDescent="0.25">
      <c r="A4" t="s">
        <v>13</v>
      </c>
      <c r="B4">
        <v>217</v>
      </c>
      <c r="C4">
        <v>0.5</v>
      </c>
      <c r="D4">
        <f t="shared" si="0"/>
        <v>325.5</v>
      </c>
    </row>
    <row r="5" spans="1:7" x14ac:dyDescent="0.25">
      <c r="A5" t="s">
        <v>14</v>
      </c>
      <c r="B5">
        <v>412</v>
      </c>
      <c r="D5">
        <f t="shared" si="0"/>
        <v>1236</v>
      </c>
    </row>
    <row r="6" spans="1:7" x14ac:dyDescent="0.25">
      <c r="A6" t="s">
        <v>15</v>
      </c>
      <c r="B6">
        <v>55</v>
      </c>
      <c r="C6">
        <v>0.5</v>
      </c>
      <c r="D6">
        <f t="shared" si="0"/>
        <v>82.5</v>
      </c>
    </row>
    <row r="7" spans="1:7" x14ac:dyDescent="0.25">
      <c r="A7" t="s">
        <v>16</v>
      </c>
      <c r="B7">
        <v>77</v>
      </c>
      <c r="D7">
        <f t="shared" si="0"/>
        <v>231</v>
      </c>
    </row>
    <row r="8" spans="1:7" x14ac:dyDescent="0.25">
      <c r="A8" t="s">
        <v>17</v>
      </c>
      <c r="B8">
        <v>100</v>
      </c>
      <c r="C8">
        <v>0.5</v>
      </c>
      <c r="D8">
        <f t="shared" si="0"/>
        <v>150</v>
      </c>
    </row>
    <row r="9" spans="1:7" x14ac:dyDescent="0.25">
      <c r="A9" t="s">
        <v>18</v>
      </c>
      <c r="B9">
        <v>154</v>
      </c>
      <c r="D9">
        <f t="shared" si="0"/>
        <v>462</v>
      </c>
    </row>
    <row r="10" spans="1:7" x14ac:dyDescent="0.25">
      <c r="A10" t="s">
        <v>19</v>
      </c>
      <c r="B10">
        <v>576</v>
      </c>
      <c r="C10">
        <v>0.5</v>
      </c>
      <c r="D10">
        <f t="shared" si="0"/>
        <v>864</v>
      </c>
    </row>
    <row r="11" spans="1:7" x14ac:dyDescent="0.25">
      <c r="A11" t="s">
        <v>20</v>
      </c>
      <c r="B11">
        <v>143</v>
      </c>
      <c r="D11">
        <f t="shared" si="0"/>
        <v>429</v>
      </c>
    </row>
    <row r="12" spans="1:7" x14ac:dyDescent="0.25">
      <c r="D12">
        <f>SUM(D2:D11)</f>
        <v>4750.5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5" x14ac:dyDescent="0.25"/>
  <cols>
    <col min="1" max="1" width="17.5703125" customWidth="1"/>
    <col min="4" max="4" width="14.140625" customWidth="1"/>
    <col min="5" max="5" width="22.85546875" customWidth="1"/>
  </cols>
  <sheetData>
    <row r="1" spans="1:6" x14ac:dyDescent="0.25"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 t="s">
        <v>25</v>
      </c>
      <c r="B2">
        <v>50</v>
      </c>
      <c r="C2">
        <v>20</v>
      </c>
      <c r="D2">
        <v>15</v>
      </c>
      <c r="E2">
        <f>2*$D2</f>
        <v>30</v>
      </c>
      <c r="F2">
        <f>IF($B2&gt;$C2, $D2*10+($B2-10)*$E2, $B2*$D2)</f>
        <v>1350</v>
      </c>
    </row>
    <row r="3" spans="1:6" x14ac:dyDescent="0.25">
      <c r="A3" t="s">
        <v>27</v>
      </c>
      <c r="B3">
        <v>5</v>
      </c>
      <c r="C3">
        <v>20</v>
      </c>
      <c r="D3">
        <v>15</v>
      </c>
      <c r="E3">
        <f t="shared" ref="E3:E11" si="0">2*$D3</f>
        <v>30</v>
      </c>
      <c r="F3">
        <f>IF($B3&gt;$C3, $D3*10+($B3-10)*$E3, $B3*$D3)</f>
        <v>75</v>
      </c>
    </row>
    <row r="4" spans="1:6" x14ac:dyDescent="0.25">
      <c r="A4" t="s">
        <v>26</v>
      </c>
      <c r="B4">
        <v>10</v>
      </c>
      <c r="C4">
        <v>20</v>
      </c>
      <c r="D4">
        <v>15</v>
      </c>
      <c r="E4">
        <f t="shared" si="0"/>
        <v>30</v>
      </c>
      <c r="F4">
        <f t="shared" ref="F3:F11" si="1">IF($B4&gt;$C4, $D4*10+($B4-10)*$E4, $B4*$D4)</f>
        <v>150</v>
      </c>
    </row>
    <row r="5" spans="1:6" x14ac:dyDescent="0.25">
      <c r="A5" t="s">
        <v>28</v>
      </c>
      <c r="B5">
        <v>11</v>
      </c>
      <c r="C5">
        <v>20</v>
      </c>
      <c r="D5">
        <v>15</v>
      </c>
      <c r="E5">
        <f t="shared" si="0"/>
        <v>30</v>
      </c>
      <c r="F5">
        <f t="shared" si="1"/>
        <v>165</v>
      </c>
    </row>
    <row r="6" spans="1:6" x14ac:dyDescent="0.25">
      <c r="A6" t="s">
        <v>29</v>
      </c>
      <c r="B6">
        <v>4</v>
      </c>
      <c r="C6">
        <v>20</v>
      </c>
      <c r="D6">
        <v>15</v>
      </c>
      <c r="E6">
        <f t="shared" si="0"/>
        <v>30</v>
      </c>
      <c r="F6">
        <f t="shared" si="1"/>
        <v>60</v>
      </c>
    </row>
    <row r="7" spans="1:6" x14ac:dyDescent="0.25">
      <c r="A7" t="s">
        <v>30</v>
      </c>
      <c r="B7">
        <v>3</v>
      </c>
      <c r="C7">
        <v>20</v>
      </c>
      <c r="D7">
        <v>15</v>
      </c>
      <c r="E7">
        <f t="shared" si="0"/>
        <v>30</v>
      </c>
      <c r="F7">
        <f t="shared" si="1"/>
        <v>45</v>
      </c>
    </row>
    <row r="8" spans="1:6" x14ac:dyDescent="0.25">
      <c r="A8" t="s">
        <v>31</v>
      </c>
      <c r="B8">
        <v>14</v>
      </c>
      <c r="C8">
        <v>20</v>
      </c>
      <c r="D8">
        <v>15</v>
      </c>
      <c r="E8">
        <f t="shared" si="0"/>
        <v>30</v>
      </c>
      <c r="F8">
        <f t="shared" si="1"/>
        <v>210</v>
      </c>
    </row>
    <row r="9" spans="1:6" x14ac:dyDescent="0.25">
      <c r="A9" t="s">
        <v>32</v>
      </c>
      <c r="B9">
        <v>16</v>
      </c>
      <c r="C9">
        <v>20</v>
      </c>
      <c r="D9">
        <v>15</v>
      </c>
      <c r="E9">
        <f t="shared" si="0"/>
        <v>30</v>
      </c>
      <c r="F9">
        <f t="shared" si="1"/>
        <v>240</v>
      </c>
    </row>
    <row r="10" spans="1:6" x14ac:dyDescent="0.25">
      <c r="A10" t="s">
        <v>33</v>
      </c>
      <c r="B10">
        <v>19</v>
      </c>
      <c r="C10">
        <v>20</v>
      </c>
      <c r="D10">
        <v>15</v>
      </c>
      <c r="E10">
        <f t="shared" si="0"/>
        <v>30</v>
      </c>
      <c r="F10">
        <f t="shared" si="1"/>
        <v>285</v>
      </c>
    </row>
    <row r="11" spans="1:6" x14ac:dyDescent="0.25">
      <c r="A11" t="s">
        <v>34</v>
      </c>
      <c r="B11">
        <v>100</v>
      </c>
      <c r="C11">
        <v>20</v>
      </c>
      <c r="D11">
        <v>15</v>
      </c>
      <c r="E11">
        <f t="shared" si="0"/>
        <v>30</v>
      </c>
      <c r="F11">
        <f t="shared" si="1"/>
        <v>2850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5" x14ac:dyDescent="0.25"/>
  <sheetData>
    <row r="1" spans="1:6" x14ac:dyDescent="0.25"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 t="s">
        <v>25</v>
      </c>
      <c r="B2">
        <v>50</v>
      </c>
      <c r="C2">
        <v>20</v>
      </c>
      <c r="D2">
        <v>15</v>
      </c>
      <c r="E2">
        <f>2*$D2</f>
        <v>30</v>
      </c>
      <c r="F2">
        <f>IF($B2&gt;$C2, $D2*10+($B2-10)*$E2, $B2*$D2)</f>
        <v>1350</v>
      </c>
    </row>
    <row r="3" spans="1:6" x14ac:dyDescent="0.25">
      <c r="A3" t="s">
        <v>27</v>
      </c>
      <c r="B3">
        <v>5</v>
      </c>
      <c r="C3">
        <v>20</v>
      </c>
      <c r="D3">
        <v>15</v>
      </c>
      <c r="E3">
        <f t="shared" ref="E3:E11" si="0">2*$D3</f>
        <v>30</v>
      </c>
      <c r="F3">
        <f>IF($B3&gt;$C3, $D3*10+($B3-10)*$E3, $B3*$D3)</f>
        <v>75</v>
      </c>
    </row>
    <row r="4" spans="1:6" x14ac:dyDescent="0.25">
      <c r="A4" t="s">
        <v>26</v>
      </c>
      <c r="B4">
        <v>10</v>
      </c>
      <c r="C4">
        <v>20</v>
      </c>
      <c r="D4">
        <v>15</v>
      </c>
      <c r="E4">
        <f t="shared" si="0"/>
        <v>30</v>
      </c>
      <c r="F4">
        <f t="shared" ref="F4:F11" si="1">IF($B4&gt;$C4, $D4*10+($B4-10)*$E4, $B4*$D4)</f>
        <v>150</v>
      </c>
    </row>
    <row r="5" spans="1:6" x14ac:dyDescent="0.25">
      <c r="A5" t="s">
        <v>28</v>
      </c>
      <c r="B5">
        <v>11</v>
      </c>
      <c r="C5">
        <v>20</v>
      </c>
      <c r="D5">
        <v>15</v>
      </c>
      <c r="E5">
        <f t="shared" si="0"/>
        <v>30</v>
      </c>
      <c r="F5">
        <f t="shared" si="1"/>
        <v>165</v>
      </c>
    </row>
    <row r="6" spans="1:6" x14ac:dyDescent="0.25">
      <c r="A6" t="s">
        <v>29</v>
      </c>
      <c r="B6">
        <v>4</v>
      </c>
      <c r="C6">
        <v>20</v>
      </c>
      <c r="D6">
        <v>15</v>
      </c>
      <c r="E6">
        <f t="shared" si="0"/>
        <v>30</v>
      </c>
      <c r="F6">
        <f t="shared" si="1"/>
        <v>60</v>
      </c>
    </row>
    <row r="7" spans="1:6" x14ac:dyDescent="0.25">
      <c r="A7" t="s">
        <v>30</v>
      </c>
      <c r="B7">
        <v>3</v>
      </c>
      <c r="C7">
        <v>20</v>
      </c>
      <c r="D7">
        <v>15</v>
      </c>
      <c r="E7">
        <f t="shared" si="0"/>
        <v>30</v>
      </c>
      <c r="F7">
        <f t="shared" si="1"/>
        <v>45</v>
      </c>
    </row>
    <row r="8" spans="1:6" x14ac:dyDescent="0.25">
      <c r="A8" t="s">
        <v>31</v>
      </c>
      <c r="B8">
        <v>14</v>
      </c>
      <c r="C8">
        <v>20</v>
      </c>
      <c r="D8">
        <v>15</v>
      </c>
      <c r="E8">
        <f t="shared" si="0"/>
        <v>30</v>
      </c>
      <c r="F8">
        <f t="shared" si="1"/>
        <v>210</v>
      </c>
    </row>
    <row r="9" spans="1:6" x14ac:dyDescent="0.25">
      <c r="A9" t="s">
        <v>32</v>
      </c>
      <c r="B9">
        <v>16</v>
      </c>
      <c r="C9">
        <v>20</v>
      </c>
      <c r="D9">
        <v>15</v>
      </c>
      <c r="E9">
        <f t="shared" si="0"/>
        <v>30</v>
      </c>
      <c r="F9">
        <f t="shared" si="1"/>
        <v>240</v>
      </c>
    </row>
    <row r="10" spans="1:6" x14ac:dyDescent="0.25">
      <c r="A10" t="s">
        <v>33</v>
      </c>
      <c r="B10">
        <v>19</v>
      </c>
      <c r="C10">
        <v>20</v>
      </c>
      <c r="D10">
        <v>15</v>
      </c>
      <c r="E10">
        <f t="shared" si="0"/>
        <v>30</v>
      </c>
      <c r="F10">
        <f t="shared" si="1"/>
        <v>285</v>
      </c>
    </row>
    <row r="11" spans="1:6" x14ac:dyDescent="0.25">
      <c r="A11" t="s">
        <v>34</v>
      </c>
      <c r="B11">
        <v>100</v>
      </c>
      <c r="C11">
        <v>20</v>
      </c>
      <c r="D11">
        <v>15</v>
      </c>
      <c r="E11">
        <f t="shared" si="0"/>
        <v>30</v>
      </c>
      <c r="F11">
        <f t="shared" si="1"/>
        <v>2850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10" sqref="E10"/>
    </sheetView>
  </sheetViews>
  <sheetFormatPr defaultRowHeight="15" x14ac:dyDescent="0.25"/>
  <cols>
    <col min="2" max="2" width="26.85546875" customWidth="1"/>
    <col min="4" max="4" width="24.7109375" customWidth="1"/>
    <col min="5" max="5" width="13.5703125" customWidth="1"/>
  </cols>
  <sheetData>
    <row r="1" spans="1:5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25">
      <c r="A2">
        <v>1</v>
      </c>
      <c r="B2" t="s">
        <v>45</v>
      </c>
      <c r="C2">
        <v>6</v>
      </c>
      <c r="D2">
        <v>150</v>
      </c>
      <c r="E2">
        <f>$C2*$D2</f>
        <v>900</v>
      </c>
    </row>
    <row r="3" spans="1:5" x14ac:dyDescent="0.25">
      <c r="A3">
        <v>2</v>
      </c>
      <c r="B3" t="s">
        <v>46</v>
      </c>
      <c r="C3">
        <v>10</v>
      </c>
      <c r="D3">
        <f>1.5 *D2</f>
        <v>225</v>
      </c>
      <c r="E3">
        <f t="shared" ref="E3:E9" si="0">$C3*$D3</f>
        <v>2250</v>
      </c>
    </row>
    <row r="4" spans="1:5" x14ac:dyDescent="0.25">
      <c r="A4">
        <v>3</v>
      </c>
      <c r="B4" t="s">
        <v>47</v>
      </c>
      <c r="C4">
        <v>10</v>
      </c>
      <c r="D4">
        <f>3*D2</f>
        <v>450</v>
      </c>
      <c r="E4">
        <f t="shared" si="0"/>
        <v>4500</v>
      </c>
    </row>
    <row r="5" spans="1:5" x14ac:dyDescent="0.25">
      <c r="A5">
        <v>4</v>
      </c>
      <c r="B5" t="s">
        <v>48</v>
      </c>
      <c r="C5">
        <v>3</v>
      </c>
      <c r="D5">
        <f>D4+30</f>
        <v>480</v>
      </c>
      <c r="E5">
        <f t="shared" si="0"/>
        <v>1440</v>
      </c>
    </row>
    <row r="6" spans="1:5" x14ac:dyDescent="0.25">
      <c r="A6">
        <v>5</v>
      </c>
      <c r="B6" t="s">
        <v>49</v>
      </c>
      <c r="C6">
        <v>1</v>
      </c>
      <c r="D6">
        <f>D2*2</f>
        <v>300</v>
      </c>
      <c r="E6">
        <f t="shared" si="0"/>
        <v>300</v>
      </c>
    </row>
    <row r="7" spans="1:5" x14ac:dyDescent="0.25">
      <c r="A7">
        <v>6</v>
      </c>
      <c r="B7" t="s">
        <v>50</v>
      </c>
      <c r="C7">
        <v>1</v>
      </c>
      <c r="D7">
        <f>D3+40</f>
        <v>265</v>
      </c>
      <c r="E7">
        <f t="shared" si="0"/>
        <v>265</v>
      </c>
    </row>
    <row r="8" spans="1:5" x14ac:dyDescent="0.25">
      <c r="A8">
        <v>7</v>
      </c>
      <c r="B8" t="s">
        <v>51</v>
      </c>
      <c r="C8">
        <v>1</v>
      </c>
      <c r="D8">
        <f>D2*4</f>
        <v>600</v>
      </c>
      <c r="E8">
        <f t="shared" si="0"/>
        <v>600</v>
      </c>
    </row>
    <row r="9" spans="1:5" x14ac:dyDescent="0.25">
      <c r="A9">
        <v>8</v>
      </c>
      <c r="B9" t="s">
        <v>52</v>
      </c>
      <c r="C9">
        <v>1</v>
      </c>
      <c r="D9">
        <f>D8+20</f>
        <v>620</v>
      </c>
      <c r="E9">
        <f t="shared" si="0"/>
        <v>620</v>
      </c>
    </row>
    <row r="10" spans="1:5" x14ac:dyDescent="0.25">
      <c r="D10" t="s">
        <v>53</v>
      </c>
      <c r="E10">
        <f>SUM(E2:E9)</f>
        <v>10875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2006-12-31T12:10:04Z</dcterms:modified>
</cp:coreProperties>
</file>