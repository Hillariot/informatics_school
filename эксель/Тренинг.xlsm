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.xml" ContentType="application/vnd.openxmlformats-officedocument.drawing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Neborak Egor\эксель\"/>
    </mc:Choice>
  </mc:AlternateContent>
  <bookViews>
    <workbookView xWindow="-120" yWindow="-120" windowWidth="29040" windowHeight="15840" firstSheet="2" activeTab="2"/>
  </bookViews>
  <sheets>
    <sheet name="Ученики" sheetId="1" state="hidden" r:id="rId1"/>
    <sheet name="Тест" sheetId="2" state="hidden" r:id="rId2"/>
    <sheet name="Отчёт" sheetId="3" r:id="rId3"/>
    <sheet name="Ведомость" sheetId="4" state="hidden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3" l="1"/>
  <c r="C2" i="3"/>
  <c r="B2" i="3"/>
  <c r="A2" i="3"/>
  <c r="B8" i="3"/>
  <c r="B7" i="3"/>
  <c r="B6" i="3"/>
  <c r="B5" i="3"/>
  <c r="B4" i="3"/>
  <c r="E2" i="3" l="1"/>
  <c r="C47" i="2"/>
  <c r="C30" i="2"/>
  <c r="C2" i="2"/>
  <c r="D3" i="1"/>
  <c r="D4" i="1"/>
  <c r="D5" i="1"/>
  <c r="D6" i="1"/>
  <c r="D7" i="1"/>
  <c r="D8" i="1"/>
  <c r="D9" i="1"/>
  <c r="D10" i="1"/>
  <c r="D11" i="1"/>
  <c r="D2" i="1"/>
  <c r="C6" i="2"/>
</calcChain>
</file>

<file path=xl/sharedStrings.xml><?xml version="1.0" encoding="utf-8"?>
<sst xmlns="http://schemas.openxmlformats.org/spreadsheetml/2006/main" count="162" uniqueCount="67">
  <si>
    <t xml:space="preserve">Фамилия </t>
  </si>
  <si>
    <t>Имя</t>
  </si>
  <si>
    <t>Класс</t>
  </si>
  <si>
    <t xml:space="preserve">Захаров </t>
  </si>
  <si>
    <t>Артём</t>
  </si>
  <si>
    <t>Дорн</t>
  </si>
  <si>
    <t>Сергей</t>
  </si>
  <si>
    <t>Родионов</t>
  </si>
  <si>
    <t>Леонид</t>
  </si>
  <si>
    <t xml:space="preserve">Назаров </t>
  </si>
  <si>
    <t>Роман</t>
  </si>
  <si>
    <t>Бердников</t>
  </si>
  <si>
    <t>Никита</t>
  </si>
  <si>
    <t>Кузьмичёв</t>
  </si>
  <si>
    <t xml:space="preserve">Усольцев </t>
  </si>
  <si>
    <t>Андрей</t>
  </si>
  <si>
    <t>Неборак</t>
  </si>
  <si>
    <t>Егор</t>
  </si>
  <si>
    <t>Шиммер</t>
  </si>
  <si>
    <t>Клаус</t>
  </si>
  <si>
    <t>9А</t>
  </si>
  <si>
    <t>9Б</t>
  </si>
  <si>
    <t>9В</t>
  </si>
  <si>
    <t>Тест по теме "Табличный процессор Microsoft Excel"</t>
  </si>
  <si>
    <t>Дата и время начала теста</t>
  </si>
  <si>
    <t>Тест проходит ученик</t>
  </si>
  <si>
    <t xml:space="preserve"> 9А</t>
  </si>
  <si>
    <t>Вопрос №1</t>
  </si>
  <si>
    <t>К какой категории функций относится функция И?</t>
  </si>
  <si>
    <t>а)</t>
  </si>
  <si>
    <t>б)</t>
  </si>
  <si>
    <t>в)</t>
  </si>
  <si>
    <t>Ответ</t>
  </si>
  <si>
    <t>Правильный ответ</t>
  </si>
  <si>
    <t>Вопрос №2</t>
  </si>
  <si>
    <t>Вопрос №3</t>
  </si>
  <si>
    <t>Вопрос №4</t>
  </si>
  <si>
    <t>Вопрос №5</t>
  </si>
  <si>
    <t>Как называется адрес ячейки полностью защищённый от изменения при копировании формулы?</t>
  </si>
  <si>
    <t>Какие из представленных ниже функций входят в состав мастера функций?</t>
  </si>
  <si>
    <t>г)</t>
  </si>
  <si>
    <t>Фамилия Имя</t>
  </si>
  <si>
    <t>Дата прохождения</t>
  </si>
  <si>
    <t>1 вопрос</t>
  </si>
  <si>
    <t>2 вопрос</t>
  </si>
  <si>
    <t>3 вопрос</t>
  </si>
  <si>
    <t>4 вопрос</t>
  </si>
  <si>
    <t>5 вопрос</t>
  </si>
  <si>
    <t xml:space="preserve"> Класс</t>
  </si>
  <si>
    <t>Необходимо определить при каких входных значениях может быть получен требуемый результат. Какое средство MS Excel позволяет это сделать?</t>
  </si>
  <si>
    <t>Какие функции относятся к группе "Логические"?</t>
  </si>
  <si>
    <t>а</t>
  </si>
  <si>
    <t>б</t>
  </si>
  <si>
    <t>в</t>
  </si>
  <si>
    <t>г</t>
  </si>
  <si>
    <t>2\3</t>
  </si>
  <si>
    <t>Никита Бердников</t>
  </si>
  <si>
    <t>Андрей Дорн</t>
  </si>
  <si>
    <t>5\0</t>
  </si>
  <si>
    <t xml:space="preserve">Роман Усольцев </t>
  </si>
  <si>
    <t>3\2</t>
  </si>
  <si>
    <t>0\0</t>
  </si>
  <si>
    <t>Леонид Родионов</t>
  </si>
  <si>
    <t>Правильные\Неправильные\Нет ответа</t>
  </si>
  <si>
    <t>Правильные/неправильные/Нет ответа</t>
  </si>
  <si>
    <t>Оценка</t>
  </si>
  <si>
    <t>2\0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</si>
</sst>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\ h:mm;@"/>
  </numFmts>
  <fonts count="8" x14ac:knownFonts="1">
    <font>
      <sz val="11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rgb="FF000000"/>
      <name val="Calibri"/>
      <family val="2"/>
      <charset val="204"/>
    </font>
    <font>
      <sz val="22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49" fontId="0" fillId="0" borderId="0" xfId="0" applyNumberFormat="1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G$4" fmlaRange="Ученики!$D$2:$D$11" noThreeD="1" sel="3" val="0"/>
</file>

<file path=xl/ctrlProps/ctrlProp2.xml><?xml version="1.0" encoding="utf-8"?>
<formControlPr xmlns="http://schemas.microsoft.com/office/spreadsheetml/2009/9/main" objectType="Radio" firstButton="1" fmlaLink="$C$1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CheckBox" fmlaLink="$M$28" lockText="1" noThreeD="1"/>
</file>

<file path=xl/ctrlProps/ctrlProp15.xml><?xml version="1.0" encoding="utf-8"?>
<formControlPr xmlns="http://schemas.microsoft.com/office/spreadsheetml/2009/9/main" objectType="CheckBox" fmlaLink="$M$30" lockText="1" noThreeD="1"/>
</file>

<file path=xl/ctrlProps/ctrlProp16.xml><?xml version="1.0" encoding="utf-8"?>
<formControlPr xmlns="http://schemas.microsoft.com/office/spreadsheetml/2009/9/main" objectType="CheckBox" fmlaLink="$M$31" lockText="1" noThreeD="1"/>
</file>

<file path=xl/ctrlProps/ctrlProp17.xml><?xml version="1.0" encoding="utf-8"?>
<formControlPr xmlns="http://schemas.microsoft.com/office/spreadsheetml/2009/9/main" objectType="CheckBox" fmlaLink="$M$29" lockText="1" noThreeD="1"/>
</file>

<file path=xl/ctrlProps/ctrlProp18.xml><?xml version="1.0" encoding="utf-8"?>
<formControlPr xmlns="http://schemas.microsoft.com/office/spreadsheetml/2009/9/main" objectType="CheckBox" fmlaLink="$M$45" lockText="1" noThreeD="1"/>
</file>

<file path=xl/ctrlProps/ctrlProp19.xml><?xml version="1.0" encoding="utf-8"?>
<formControlPr xmlns="http://schemas.microsoft.com/office/spreadsheetml/2009/9/main" objectType="CheckBox" fmlaLink="$M$47" lockText="1" noThreeD="1"/>
</file>

<file path=xl/ctrlProps/ctrlProp20.xml><?xml version="1.0" encoding="utf-8"?>
<formControlPr xmlns="http://schemas.microsoft.com/office/spreadsheetml/2009/9/main" objectType="CheckBox" fmlaLink="$M$46" lockText="1" noThreeD="1"/>
</file>

<file path=xl/ctrlProps/ctrlProp21.xml><?xml version="1.0" encoding="utf-8"?>
<formControlPr xmlns="http://schemas.microsoft.com/office/spreadsheetml/2009/9/main" objectType="CheckBox" fmlaLink="$M$48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56</xdr:row>
          <xdr:rowOff>28575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CDF338C-FD5B-4CE4-8E07-786A45118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19050</xdr:rowOff>
        </xdr:from>
        <xdr:to>
          <xdr:col>2</xdr:col>
          <xdr:colOff>9525</xdr:colOff>
          <xdr:row>55</xdr:row>
          <xdr:rowOff>161925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C8D5A0F-56BD-4990-8361-9DD78B504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Текстовые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19050</xdr:rowOff>
        </xdr:from>
        <xdr:to>
          <xdr:col>1</xdr:col>
          <xdr:colOff>1647825</xdr:colOff>
          <xdr:row>55</xdr:row>
          <xdr:rowOff>161925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7D09C6E-4337-468D-BBFF-38310E276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Логические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14</xdr:row>
          <xdr:rowOff>9525</xdr:rowOff>
        </xdr:from>
        <xdr:to>
          <xdr:col>1</xdr:col>
          <xdr:colOff>1638300</xdr:colOff>
          <xdr:row>56</xdr:row>
          <xdr:rowOff>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22015B4C-A25A-4852-9F43-3CEDC8B33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Математические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2</xdr:col>
          <xdr:colOff>9525</xdr:colOff>
          <xdr:row>58</xdr:row>
          <xdr:rowOff>180975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E10CC3CC-2556-4BB6-A56E-255CE414D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19050</xdr:rowOff>
        </xdr:from>
        <xdr:to>
          <xdr:col>1</xdr:col>
          <xdr:colOff>1647825</xdr:colOff>
          <xdr:row>55</xdr:row>
          <xdr:rowOff>152400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B83B74AD-ED43-4FBA-A4AD-70218FCE8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Относительный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180975</xdr:rowOff>
        </xdr:from>
        <xdr:to>
          <xdr:col>1</xdr:col>
          <xdr:colOff>1628775</xdr:colOff>
          <xdr:row>56</xdr:row>
          <xdr:rowOff>9525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1E3D0522-7E59-442C-A9EF-1AC466785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Абсолютный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2</xdr:col>
          <xdr:colOff>9525</xdr:colOff>
          <xdr:row>60</xdr:row>
          <xdr:rowOff>9525</xdr:rowOff>
        </xdr:to>
        <xdr:sp macro="" textlink="">
          <xdr:nvSpPr>
            <xdr:cNvPr id="2061" name="Group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13C29C43-3E2F-4D6D-8AA6-D98832014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0</xdr:rowOff>
        </xdr:from>
        <xdr:to>
          <xdr:col>2</xdr:col>
          <xdr:colOff>9525</xdr:colOff>
          <xdr:row>55</xdr:row>
          <xdr:rowOff>171450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6473BD3D-7653-429A-BC36-DE2DE4345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Расширенный фильтр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37</xdr:row>
          <xdr:rowOff>190500</xdr:rowOff>
        </xdr:from>
        <xdr:to>
          <xdr:col>2</xdr:col>
          <xdr:colOff>0</xdr:colOff>
          <xdr:row>55</xdr:row>
          <xdr:rowOff>152400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E98A889B-D27C-4343-83CD-AB1EB9439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Подбор параметра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39</xdr:row>
          <xdr:rowOff>9525</xdr:rowOff>
        </xdr:from>
        <xdr:to>
          <xdr:col>1</xdr:col>
          <xdr:colOff>1638300</xdr:colOff>
          <xdr:row>56</xdr:row>
          <xdr:rowOff>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B0AC27AA-16FF-4CFA-91E2-FFB58BECF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Сводные таблицы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2</xdr:col>
          <xdr:colOff>9525</xdr:colOff>
          <xdr:row>58</xdr:row>
          <xdr:rowOff>180975</xdr:rowOff>
        </xdr:to>
        <xdr:sp macro="" textlink="">
          <xdr:nvSpPr>
            <xdr:cNvPr id="2065" name="Group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7F7E37BC-2856-4493-9EF8-AF83D585A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2</xdr:col>
          <xdr:colOff>9525</xdr:colOff>
          <xdr:row>59</xdr:row>
          <xdr:rowOff>161925</xdr:rowOff>
        </xdr:to>
        <xdr:sp macro="" textlink="">
          <xdr:nvSpPr>
            <xdr:cNvPr id="2069" name="Group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DBB05463-ACE2-4C9E-AE8A-47F36A81A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27</xdr:row>
          <xdr:rowOff>171450</xdr:rowOff>
        </xdr:from>
        <xdr:to>
          <xdr:col>1</xdr:col>
          <xdr:colOff>1647825</xdr:colOff>
          <xdr:row>56</xdr:row>
          <xdr:rowOff>19050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6AA1FD21-0C90-4235-AAD1-47C6DD4F9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Произведение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29</xdr:row>
          <xdr:rowOff>180975</xdr:rowOff>
        </xdr:from>
        <xdr:to>
          <xdr:col>1</xdr:col>
          <xdr:colOff>1647825</xdr:colOff>
          <xdr:row>56</xdr:row>
          <xdr:rowOff>19050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365B8892-D945-4290-8150-3DE229E31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Возведение в степень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30</xdr:row>
          <xdr:rowOff>180975</xdr:rowOff>
        </xdr:from>
        <xdr:to>
          <xdr:col>1</xdr:col>
          <xdr:colOff>1647825</xdr:colOff>
          <xdr:row>56</xdr:row>
          <xdr:rowOff>19050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61F52520-BBE0-47FF-8044-999CBE697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Вычитание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0</xdr:rowOff>
        </xdr:from>
        <xdr:to>
          <xdr:col>1</xdr:col>
          <xdr:colOff>1638300</xdr:colOff>
          <xdr:row>56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6B873E0B-8045-479B-89FE-274955B33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Деление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44</xdr:row>
          <xdr:rowOff>180975</xdr:rowOff>
        </xdr:from>
        <xdr:to>
          <xdr:col>1</xdr:col>
          <xdr:colOff>1638300</xdr:colOff>
          <xdr:row>56</xdr:row>
          <xdr:rowOff>19050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981CFE6B-22CD-405B-9BAE-659ECCD33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ИЛИ()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46</xdr:row>
          <xdr:rowOff>171450</xdr:rowOff>
        </xdr:from>
        <xdr:to>
          <xdr:col>1</xdr:col>
          <xdr:colOff>1638300</xdr:colOff>
          <xdr:row>56</xdr:row>
          <xdr:rowOff>19050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948C88E0-EBA4-4053-9F49-73825FEFB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СчётЕсли()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45</xdr:row>
          <xdr:rowOff>171450</xdr:rowOff>
        </xdr:from>
        <xdr:to>
          <xdr:col>1</xdr:col>
          <xdr:colOff>1638300</xdr:colOff>
          <xdr:row>56</xdr:row>
          <xdr:rowOff>19050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310BA9D3-96E8-4020-A7AF-E52F8F408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Если()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0</xdr:rowOff>
        </xdr:from>
        <xdr:to>
          <xdr:col>2</xdr:col>
          <xdr:colOff>0</xdr:colOff>
          <xdr:row>56</xdr:row>
          <xdr:rowOff>19050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E53F0DE7-C8E0-476D-B855-A2F9E0AA0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И()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51</xdr:row>
          <xdr:rowOff>9525</xdr:rowOff>
        </xdr:from>
        <xdr:to>
          <xdr:col>3</xdr:col>
          <xdr:colOff>600075</xdr:colOff>
          <xdr:row>52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E57FA1D6-AFA1-43A0-AD8F-10A770540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12</xdr:row>
          <xdr:rowOff>9525</xdr:rowOff>
        </xdr:from>
        <xdr:to>
          <xdr:col>3</xdr:col>
          <xdr:colOff>9525</xdr:colOff>
          <xdr:row>13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C4D0BFD7-127B-44E9-9566-A4CE7D964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9525</xdr:rowOff>
        </xdr:from>
        <xdr:to>
          <xdr:col>1</xdr:col>
          <xdr:colOff>1647825</xdr:colOff>
          <xdr:row>59</xdr:row>
          <xdr:rowOff>9525</xdr:rowOff>
        </xdr:to>
        <xdr:sp macro="" textlink="">
          <xdr:nvSpPr>
            <xdr:cNvPr id="2088" name="Group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275F81FF-C013-4FA3-AAD1-E55C55FAB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171450</xdr:rowOff>
        </xdr:from>
        <xdr:to>
          <xdr:col>1</xdr:col>
          <xdr:colOff>1638300</xdr:colOff>
          <xdr:row>56</xdr:row>
          <xdr:rowOff>28575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D6E07AE-427B-4E6D-B569-611081794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Смешанный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2</xdr:col>
          <xdr:colOff>923925</xdr:colOff>
          <xdr:row>20</xdr:row>
          <xdr:rowOff>180975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FA656294-6ABA-4AB1-8947-95DB29529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37</xdr:row>
          <xdr:rowOff>19050</xdr:rowOff>
        </xdr:from>
        <xdr:to>
          <xdr:col>2</xdr:col>
          <xdr:colOff>923925</xdr:colOff>
          <xdr:row>38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AB179EE5-0D8F-4123-869E-7FC254B3E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0</xdr:rowOff>
        </xdr:from>
        <xdr:to>
          <xdr:col>3</xdr:col>
          <xdr:colOff>0</xdr:colOff>
          <xdr:row>28</xdr:row>
          <xdr:rowOff>180975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E25912CC-1082-4E8A-BF2E-017C7FF60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1647825</xdr:colOff>
          <xdr:row>44</xdr:row>
          <xdr:rowOff>180975</xdr:rowOff>
        </xdr:from>
        <xdr:to>
          <xdr:col>2</xdr:col>
          <xdr:colOff>914400</xdr:colOff>
          <xdr:row>46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177859-6725-4CBC-9A47-A6C0DF2A8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Ответ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52</xdr:row>
          <xdr:rowOff>28575</xdr:rowOff>
        </xdr:from>
        <xdr:to>
          <xdr:col>14</xdr:col>
          <xdr:colOff>9525</xdr:colOff>
          <xdr:row>57</xdr:row>
          <xdr:rowOff>19050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FE79EC6A-0F0A-4442-9886-B53BC084A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1104900</xdr:colOff>
          <xdr:row>8</xdr:row>
          <xdr:rowOff>180975</xdr:rowOff>
        </xdr:from>
        <xdr:to>
          <xdr:col>5</xdr:col>
          <xdr:colOff>600075</xdr:colOff>
          <xdr:row>10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1"/>
  <sheetViews>
    <sheetView zoomScaleNormal="100" workbookViewId="0">
      <selection activeCell="D1" sqref="D1:D1048576"/>
    </sheetView>
  </sheetViews>
  <sheetFormatPr defaultRowHeight="15" x14ac:dyDescent="0.25"/>
  <cols>
    <col min="1" max="1" width="19.140625" customWidth="1"/>
    <col min="2" max="2" width="14.42578125" customWidth="1"/>
    <col min="3" max="3" width="14.7109375" customWidth="1"/>
    <col min="4" max="4" width="9.140625" hidden="1" customWidth="1"/>
  </cols>
  <sheetData>
    <row r="1" spans="1:4" x14ac:dyDescent="0.25">
      <c r="A1" t="s">
        <v>0</v>
      </c>
      <c r="B1" t="s">
        <v>1</v>
      </c>
      <c r="C1" t="s">
        <v>48</v>
      </c>
    </row>
    <row r="2" spans="1:4" x14ac:dyDescent="0.25">
      <c r="A2" t="s">
        <v>3</v>
      </c>
      <c r="B2" t="s">
        <v>4</v>
      </c>
      <c r="C2" t="s">
        <v>26</v>
      </c>
      <c r="D2" t="str">
        <f>CONCATENATE(B2," ",A2,)</f>
        <v xml:space="preserve">Артём Захаров </v>
      </c>
    </row>
    <row r="3" spans="1:4" x14ac:dyDescent="0.25">
      <c r="A3" t="s">
        <v>5</v>
      </c>
      <c r="B3" t="s">
        <v>6</v>
      </c>
      <c r="C3" t="s">
        <v>20</v>
      </c>
      <c r="D3" t="str">
        <f t="shared" ref="D3:D11" si="0">CONCATENATE(B3," ",A3,)</f>
        <v>Сергей Дорн</v>
      </c>
    </row>
    <row r="4" spans="1:4" x14ac:dyDescent="0.25">
      <c r="A4" t="s">
        <v>7</v>
      </c>
      <c r="B4" t="s">
        <v>8</v>
      </c>
      <c r="C4" t="s">
        <v>20</v>
      </c>
      <c r="D4" t="str">
        <f t="shared" si="0"/>
        <v>Леонид Родионов</v>
      </c>
    </row>
    <row r="5" spans="1:4" x14ac:dyDescent="0.25">
      <c r="A5" t="s">
        <v>9</v>
      </c>
      <c r="B5" t="s">
        <v>10</v>
      </c>
      <c r="C5" t="s">
        <v>21</v>
      </c>
      <c r="D5" t="str">
        <f t="shared" si="0"/>
        <v xml:space="preserve">Роман Назаров </v>
      </c>
    </row>
    <row r="6" spans="1:4" x14ac:dyDescent="0.25">
      <c r="A6" t="s">
        <v>11</v>
      </c>
      <c r="B6" t="s">
        <v>12</v>
      </c>
      <c r="C6" t="s">
        <v>21</v>
      </c>
      <c r="D6" t="str">
        <f t="shared" si="0"/>
        <v>Никита Бердников</v>
      </c>
    </row>
    <row r="7" spans="1:4" x14ac:dyDescent="0.25">
      <c r="A7" t="s">
        <v>13</v>
      </c>
      <c r="B7" t="s">
        <v>12</v>
      </c>
      <c r="C7" t="s">
        <v>21</v>
      </c>
      <c r="D7" t="str">
        <f t="shared" si="0"/>
        <v>Никита Кузьмичёв</v>
      </c>
    </row>
    <row r="8" spans="1:4" x14ac:dyDescent="0.25">
      <c r="A8" t="s">
        <v>14</v>
      </c>
      <c r="B8" t="s">
        <v>10</v>
      </c>
      <c r="C8" t="s">
        <v>22</v>
      </c>
      <c r="D8" t="str">
        <f t="shared" si="0"/>
        <v xml:space="preserve">Роман Усольцев </v>
      </c>
    </row>
    <row r="9" spans="1:4" x14ac:dyDescent="0.25">
      <c r="A9" t="s">
        <v>5</v>
      </c>
      <c r="B9" t="s">
        <v>15</v>
      </c>
      <c r="C9" t="s">
        <v>22</v>
      </c>
      <c r="D9" t="str">
        <f t="shared" si="0"/>
        <v>Андрей Дорн</v>
      </c>
    </row>
    <row r="10" spans="1:4" x14ac:dyDescent="0.25">
      <c r="A10" t="s">
        <v>16</v>
      </c>
      <c r="B10" t="s">
        <v>17</v>
      </c>
      <c r="C10" t="s">
        <v>22</v>
      </c>
      <c r="D10" t="str">
        <f t="shared" si="0"/>
        <v>Егор Неборак</v>
      </c>
    </row>
    <row r="11" spans="1:4" x14ac:dyDescent="0.25">
      <c r="A11" t="s">
        <v>18</v>
      </c>
      <c r="B11" t="s">
        <v>19</v>
      </c>
      <c r="C11" t="s">
        <v>22</v>
      </c>
      <c r="D11" t="str">
        <f t="shared" si="0"/>
        <v>Клаус Шиммер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M55"/>
  <sheetViews>
    <sheetView topLeftCell="A56" zoomScaleNormal="100" workbookViewId="0">
      <selection activeCell="A2" sqref="A2"/>
    </sheetView>
  </sheetViews>
  <sheetFormatPr defaultRowHeight="15" x14ac:dyDescent="0.25"/>
  <cols>
    <col min="1" max="1" width="19.42578125" customWidth="1"/>
    <col min="2" max="2" width="24.85546875" customWidth="1"/>
    <col min="3" max="3" width="14" customWidth="1"/>
    <col min="12" max="13" width="9.140625" hidden="1" customWidth="1"/>
  </cols>
  <sheetData>
    <row r="1" spans="1:7" ht="28.5" hidden="1" x14ac:dyDescent="0.45">
      <c r="A1" s="1" t="s">
        <v>23</v>
      </c>
    </row>
    <row r="2" spans="1:7" hidden="1" x14ac:dyDescent="0.25">
      <c r="B2" t="s">
        <v>24</v>
      </c>
      <c r="C2" s="2">
        <f ca="1">TODAY()</f>
        <v>39083</v>
      </c>
    </row>
    <row r="3" spans="1:7" hidden="1" x14ac:dyDescent="0.25"/>
    <row r="4" spans="1:7" hidden="1" x14ac:dyDescent="0.25">
      <c r="B4" t="s">
        <v>25</v>
      </c>
      <c r="G4">
        <v>3</v>
      </c>
    </row>
    <row r="5" spans="1:7" hidden="1" x14ac:dyDescent="0.25"/>
    <row r="6" spans="1:7" hidden="1" x14ac:dyDescent="0.25">
      <c r="B6" t="s">
        <v>2</v>
      </c>
      <c r="C6" t="str">
        <f>INDEX(Ученики!C:C,Тест!G4+1)</f>
        <v>9А</v>
      </c>
    </row>
    <row r="7" spans="1:7" hidden="1" x14ac:dyDescent="0.25"/>
    <row r="8" spans="1:7" hidden="1" x14ac:dyDescent="0.25"/>
    <row r="9" spans="1:7" ht="28.5" hidden="1" x14ac:dyDescent="0.45">
      <c r="A9" s="1" t="s">
        <v>27</v>
      </c>
    </row>
    <row r="10" spans="1:7" hidden="1" x14ac:dyDescent="0.25"/>
    <row r="11" spans="1:7" ht="21" hidden="1" x14ac:dyDescent="0.35">
      <c r="A11" s="4" t="s">
        <v>28</v>
      </c>
    </row>
    <row r="12" spans="1:7" hidden="1" x14ac:dyDescent="0.25"/>
    <row r="13" spans="1:7" hidden="1" x14ac:dyDescent="0.25">
      <c r="A13" s="5" t="s">
        <v>29</v>
      </c>
      <c r="C13" t="s">
        <v>32</v>
      </c>
      <c r="D13" t="s">
        <v>33</v>
      </c>
    </row>
    <row r="14" spans="1:7" hidden="1" x14ac:dyDescent="0.25">
      <c r="A14" s="5" t="s">
        <v>30</v>
      </c>
      <c r="C14">
        <v>0</v>
      </c>
    </row>
    <row r="15" spans="1:7" hidden="1" x14ac:dyDescent="0.25">
      <c r="A15" s="5" t="s">
        <v>31</v>
      </c>
    </row>
    <row r="16" spans="1:7" hidden="1" x14ac:dyDescent="0.25"/>
    <row r="17" spans="1:13" ht="28.5" hidden="1" x14ac:dyDescent="0.45">
      <c r="A17" s="1" t="s">
        <v>34</v>
      </c>
    </row>
    <row r="18" spans="1:13" hidden="1" x14ac:dyDescent="0.25"/>
    <row r="19" spans="1:13" ht="21" hidden="1" x14ac:dyDescent="0.35">
      <c r="A19" s="4" t="s">
        <v>38</v>
      </c>
    </row>
    <row r="20" spans="1:13" hidden="1" x14ac:dyDescent="0.25"/>
    <row r="21" spans="1:13" hidden="1" x14ac:dyDescent="0.25">
      <c r="A21" s="5" t="s">
        <v>29</v>
      </c>
      <c r="C21" t="s">
        <v>32</v>
      </c>
      <c r="D21" t="s">
        <v>33</v>
      </c>
    </row>
    <row r="22" spans="1:13" hidden="1" x14ac:dyDescent="0.25">
      <c r="A22" s="5" t="s">
        <v>30</v>
      </c>
    </row>
    <row r="23" spans="1:13" hidden="1" x14ac:dyDescent="0.25">
      <c r="A23" s="5" t="s">
        <v>31</v>
      </c>
    </row>
    <row r="24" spans="1:13" hidden="1" x14ac:dyDescent="0.25"/>
    <row r="25" spans="1:13" ht="28.5" hidden="1" x14ac:dyDescent="0.45">
      <c r="A25" s="1" t="s">
        <v>35</v>
      </c>
    </row>
    <row r="26" spans="1:13" hidden="1" x14ac:dyDescent="0.25"/>
    <row r="27" spans="1:13" ht="21" hidden="1" x14ac:dyDescent="0.35">
      <c r="A27" s="4" t="s">
        <v>39</v>
      </c>
      <c r="M27" t="b">
        <v>1</v>
      </c>
    </row>
    <row r="28" spans="1:13" hidden="1" x14ac:dyDescent="0.25">
      <c r="L28" t="s">
        <v>51</v>
      </c>
      <c r="M28" t="b">
        <v>0</v>
      </c>
    </row>
    <row r="29" spans="1:13" hidden="1" x14ac:dyDescent="0.25">
      <c r="A29" s="5" t="s">
        <v>29</v>
      </c>
      <c r="C29" t="s">
        <v>32</v>
      </c>
      <c r="D29" t="s">
        <v>33</v>
      </c>
      <c r="L29" t="s">
        <v>52</v>
      </c>
      <c r="M29" t="b">
        <v>0</v>
      </c>
    </row>
    <row r="30" spans="1:13" hidden="1" x14ac:dyDescent="0.25">
      <c r="A30" s="5" t="s">
        <v>30</v>
      </c>
      <c r="C30" s="7" t="str">
        <f>CONCATENATE(IF(M27=M28,"1",""),IF(M27=M29,"2",""),IF(M27=M30,"3",""),IF(M27=M31,"4",""))</f>
        <v/>
      </c>
      <c r="D30" s="6"/>
      <c r="L30" t="s">
        <v>53</v>
      </c>
      <c r="M30" t="b">
        <v>0</v>
      </c>
    </row>
    <row r="31" spans="1:13" hidden="1" x14ac:dyDescent="0.25">
      <c r="A31" s="5" t="s">
        <v>31</v>
      </c>
      <c r="L31" t="s">
        <v>54</v>
      </c>
      <c r="M31" t="b">
        <v>0</v>
      </c>
    </row>
    <row r="32" spans="1:13" hidden="1" x14ac:dyDescent="0.25">
      <c r="A32" s="5" t="s">
        <v>40</v>
      </c>
    </row>
    <row r="33" spans="1:13" hidden="1" x14ac:dyDescent="0.25"/>
    <row r="34" spans="1:13" ht="28.5" hidden="1" x14ac:dyDescent="0.45">
      <c r="A34" s="1" t="s">
        <v>36</v>
      </c>
    </row>
    <row r="35" spans="1:13" hidden="1" x14ac:dyDescent="0.25"/>
    <row r="36" spans="1:13" ht="21" hidden="1" x14ac:dyDescent="0.35">
      <c r="A36" s="4" t="s">
        <v>49</v>
      </c>
    </row>
    <row r="37" spans="1:13" hidden="1" x14ac:dyDescent="0.25"/>
    <row r="38" spans="1:13" hidden="1" x14ac:dyDescent="0.25">
      <c r="A38" s="5" t="s">
        <v>29</v>
      </c>
      <c r="C38">
        <v>2</v>
      </c>
      <c r="D38" t="s">
        <v>33</v>
      </c>
    </row>
    <row r="39" spans="1:13" hidden="1" x14ac:dyDescent="0.25">
      <c r="A39" s="5" t="s">
        <v>30</v>
      </c>
    </row>
    <row r="40" spans="1:13" hidden="1" x14ac:dyDescent="0.25">
      <c r="A40" s="5" t="s">
        <v>31</v>
      </c>
    </row>
    <row r="41" spans="1:13" hidden="1" x14ac:dyDescent="0.25"/>
    <row r="42" spans="1:13" ht="28.5" hidden="1" x14ac:dyDescent="0.45">
      <c r="A42" s="1" t="s">
        <v>37</v>
      </c>
    </row>
    <row r="43" spans="1:13" hidden="1" x14ac:dyDescent="0.25"/>
    <row r="44" spans="1:13" ht="21" hidden="1" x14ac:dyDescent="0.35">
      <c r="A44" s="4" t="s">
        <v>50</v>
      </c>
      <c r="M44" t="b">
        <v>1</v>
      </c>
    </row>
    <row r="45" spans="1:13" hidden="1" x14ac:dyDescent="0.25">
      <c r="L45" t="s">
        <v>51</v>
      </c>
      <c r="M45" t="b">
        <v>0</v>
      </c>
    </row>
    <row r="46" spans="1:13" hidden="1" x14ac:dyDescent="0.25">
      <c r="A46" s="5" t="s">
        <v>29</v>
      </c>
      <c r="C46" t="s">
        <v>32</v>
      </c>
      <c r="D46" t="s">
        <v>33</v>
      </c>
      <c r="L46" t="s">
        <v>52</v>
      </c>
      <c r="M46" t="b">
        <v>0</v>
      </c>
    </row>
    <row r="47" spans="1:13" hidden="1" x14ac:dyDescent="0.25">
      <c r="A47" s="5" t="s">
        <v>30</v>
      </c>
      <c r="C47" t="str">
        <f>CONCATENATE(IF(M44=M45,"1",""),IF(M44=M46,"2",""),IF(M44=M47,"3",""),IF(M44=M48,"4",""))</f>
        <v/>
      </c>
      <c r="D47" s="6"/>
      <c r="L47" t="s">
        <v>53</v>
      </c>
      <c r="M47" t="b">
        <v>0</v>
      </c>
    </row>
    <row r="48" spans="1:13" hidden="1" x14ac:dyDescent="0.25">
      <c r="A48" s="5" t="s">
        <v>31</v>
      </c>
      <c r="L48" t="s">
        <v>54</v>
      </c>
      <c r="M48" t="b">
        <v>0</v>
      </c>
    </row>
    <row r="49" spans="1:3" hidden="1" x14ac:dyDescent="0.25">
      <c r="A49" s="5" t="s">
        <v>40</v>
      </c>
    </row>
    <row r="50" spans="1:3" hidden="1" x14ac:dyDescent="0.25"/>
    <row r="51" spans="1:3" hidden="1" x14ac:dyDescent="0.25"/>
    <row r="52" spans="1:3" ht="26.25" hidden="1" x14ac:dyDescent="0.4">
      <c r="C52" s="3"/>
    </row>
    <row r="53" spans="1:3" hidden="1" x14ac:dyDescent="0.25"/>
    <row r="54" spans="1:3" hidden="1" x14ac:dyDescent="0.25"/>
    <row r="55" spans="1:3" hidden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19050</xdr:rowOff>
                  </from>
                  <to>
                    <xdr:col>2</xdr:col>
                    <xdr:colOff>9525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1</xdr:col>
                    <xdr:colOff>1647825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1</xdr:col>
                    <xdr:colOff>28575</xdr:colOff>
                    <xdr:row>14</xdr:row>
                    <xdr:rowOff>9525</xdr:rowOff>
                  </from>
                  <to>
                    <xdr:col>1</xdr:col>
                    <xdr:colOff>1638300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2</xdr:col>
                    <xdr:colOff>9525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Option Button 7">
              <controlPr defaultSize="0" autoFill="0" autoLine="0" autoPict="0">
                <anchor moveWithCells="1">
                  <from>
                    <xdr:col>1</xdr:col>
                    <xdr:colOff>19050</xdr:colOff>
                    <xdr:row>20</xdr:row>
                    <xdr:rowOff>19050</xdr:rowOff>
                  </from>
                  <to>
                    <xdr:col>1</xdr:col>
                    <xdr:colOff>1647825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Option Button 8">
              <controlPr defaultSize="0" autoFill="0" autoLine="0" autoPict="0">
                <anchor moveWithCells="1">
                  <from>
                    <xdr:col>1</xdr:col>
                    <xdr:colOff>19050</xdr:colOff>
                    <xdr:row>20</xdr:row>
                    <xdr:rowOff>180975</xdr:rowOff>
                  </from>
                  <to>
                    <xdr:col>1</xdr:col>
                    <xdr:colOff>1628775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1" name="Group Box 13">
              <controlPr defaultSize="0" autoFill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2</xdr:col>
                    <xdr:colOff>9525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2" name="Option Button 14">
              <controlPr defaultSize="0" autoFill="0" autoLine="0" autoPict="0">
                <anchor moveWithCells="1">
                  <from>
                    <xdr:col>1</xdr:col>
                    <xdr:colOff>19050</xdr:colOff>
                    <xdr:row>37</xdr:row>
                    <xdr:rowOff>0</xdr:rowOff>
                  </from>
                  <to>
                    <xdr:col>2</xdr:col>
                    <xdr:colOff>9525</xdr:colOff>
                    <xdr:row>55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3" name="Option Button 15">
              <controlPr defaultSize="0" autoFill="0" autoLine="0" autoPict="0">
                <anchor moveWithCells="1">
                  <from>
                    <xdr:col>1</xdr:col>
                    <xdr:colOff>28575</xdr:colOff>
                    <xdr:row>37</xdr:row>
                    <xdr:rowOff>190500</xdr:rowOff>
                  </from>
                  <to>
                    <xdr:col>1</xdr:col>
                    <xdr:colOff>1657350</xdr:colOff>
                    <xdr:row>55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Option Button 16">
              <controlPr defaultSize="0" autoFill="0" autoLine="0" autoPict="0">
                <anchor moveWithCells="1">
                  <from>
                    <xdr:col>1</xdr:col>
                    <xdr:colOff>28575</xdr:colOff>
                    <xdr:row>39</xdr:row>
                    <xdr:rowOff>9525</xdr:rowOff>
                  </from>
                  <to>
                    <xdr:col>1</xdr:col>
                    <xdr:colOff>1638300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5" name="Group Box 17">
              <controlPr defaultSize="0" autoFill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2</xdr:col>
                    <xdr:colOff>9525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6" name="Group Box 21">
              <controlPr defaultSize="0" autoFill="0" autoPict="0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2</xdr:col>
                    <xdr:colOff>9525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7" name="Check Box 22">
              <controlPr defaultSize="0" autoFill="0" autoLine="0" autoPict="0">
                <anchor moveWithCells="1">
                  <from>
                    <xdr:col>1</xdr:col>
                    <xdr:colOff>19050</xdr:colOff>
                    <xdr:row>27</xdr:row>
                    <xdr:rowOff>171450</xdr:rowOff>
                  </from>
                  <to>
                    <xdr:col>1</xdr:col>
                    <xdr:colOff>1647825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8" name="Check Box 23">
              <controlPr defaultSize="0" autoFill="0" autoLine="0" autoPict="0">
                <anchor moveWithCells="1">
                  <from>
                    <xdr:col>1</xdr:col>
                    <xdr:colOff>19050</xdr:colOff>
                    <xdr:row>29</xdr:row>
                    <xdr:rowOff>180975</xdr:rowOff>
                  </from>
                  <to>
                    <xdr:col>1</xdr:col>
                    <xdr:colOff>1647825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9" name="Check Box 24">
              <controlPr defaultSize="0" autoFill="0" autoLine="0" autoPict="0">
                <anchor moveWithCells="1">
                  <from>
                    <xdr:col>1</xdr:col>
                    <xdr:colOff>19050</xdr:colOff>
                    <xdr:row>30</xdr:row>
                    <xdr:rowOff>180975</xdr:rowOff>
                  </from>
                  <to>
                    <xdr:col>1</xdr:col>
                    <xdr:colOff>1647825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Check Box 25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0</xdr:rowOff>
                  </from>
                  <to>
                    <xdr:col>1</xdr:col>
                    <xdr:colOff>1638300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1" name="Check Box 30">
              <controlPr defaultSize="0" autoFill="0" autoLine="0" autoPict="0">
                <anchor moveWithCells="1">
                  <from>
                    <xdr:col>0</xdr:col>
                    <xdr:colOff>1285875</xdr:colOff>
                    <xdr:row>44</xdr:row>
                    <xdr:rowOff>180975</xdr:rowOff>
                  </from>
                  <to>
                    <xdr:col>1</xdr:col>
                    <xdr:colOff>1638300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2" name="Check Box 31">
              <controlPr defaultSize="0" autoFill="0" autoLine="0" autoPict="0">
                <anchor moveWithCells="1">
                  <from>
                    <xdr:col>0</xdr:col>
                    <xdr:colOff>1285875</xdr:colOff>
                    <xdr:row>46</xdr:row>
                    <xdr:rowOff>171450</xdr:rowOff>
                  </from>
                  <to>
                    <xdr:col>1</xdr:col>
                    <xdr:colOff>1638300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3" name="Check Box 32">
              <controlPr defaultSize="0" autoFill="0" autoLine="0" autoPict="0">
                <anchor moveWithCells="1">
                  <from>
                    <xdr:col>0</xdr:col>
                    <xdr:colOff>1285875</xdr:colOff>
                    <xdr:row>45</xdr:row>
                    <xdr:rowOff>171450</xdr:rowOff>
                  </from>
                  <to>
                    <xdr:col>1</xdr:col>
                    <xdr:colOff>1638300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4" name="Check Box 33">
              <controlPr defaultSize="0" autoFill="0" autoLine="0" autoPict="0">
                <anchor moveWithCells="1">
                  <from>
                    <xdr:col>1</xdr:col>
                    <xdr:colOff>9525</xdr:colOff>
                    <xdr:row>48</xdr:row>
                    <xdr:rowOff>0</xdr:rowOff>
                  </from>
                  <to>
                    <xdr:col>2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5" name="Button 35">
              <controlPr defaultSize="0" print="0" autoFill="0" autoPict="0" macro="[0]!Завершить_тест">
                <anchor moveWithCells="1" sizeWithCells="1">
                  <from>
                    <xdr:col>2</xdr:col>
                    <xdr:colOff>19050</xdr:colOff>
                    <xdr:row>51</xdr:row>
                    <xdr:rowOff>9525</xdr:rowOff>
                  </from>
                  <to>
                    <xdr:col>3</xdr:col>
                    <xdr:colOff>600075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6" name="Button 36">
              <controlPr defaultSize="0" print="0" autoFill="0" autoPict="0" macro="[0]!Вопрос1">
                <anchor moveWithCells="1" sizeWithCells="1">
                  <from>
                    <xdr:col>2</xdr:col>
                    <xdr:colOff>19050</xdr:colOff>
                    <xdr:row>12</xdr:row>
                    <xdr:rowOff>9525</xdr:rowOff>
                  </from>
                  <to>
                    <xdr:col>3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Group Box 40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1</xdr:col>
                    <xdr:colOff>1647825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Option Button 41">
              <controlPr defaultSize="0" autoFill="0" autoLine="0" autoPict="0">
                <anchor moveWithCells="1">
                  <from>
                    <xdr:col>1</xdr:col>
                    <xdr:colOff>19050</xdr:colOff>
                    <xdr:row>21</xdr:row>
                    <xdr:rowOff>171450</xdr:rowOff>
                  </from>
                  <to>
                    <xdr:col>1</xdr:col>
                    <xdr:colOff>1638300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Вопрос2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923925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Вопрос4">
                <anchor moveWithCells="1" siz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923925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1" name="Button 45">
              <controlPr defaultSize="0" print="0" autoFill="0" autoPict="0" macro="[0]!Вопрос3">
                <anchor moveWithCells="1" sizeWithCells="1">
                  <from>
                    <xdr:col>2</xdr:col>
                    <xdr:colOff>9525</xdr:colOff>
                    <xdr:row>28</xdr:row>
                    <xdr:rowOff>0</xdr:rowOff>
                  </from>
                  <to>
                    <xdr:col>3</xdr:col>
                    <xdr:colOff>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2" name="Button 46">
              <controlPr defaultSize="0" print="0" autoFill="0" autoPict="0" macro="[0]!Вопрос5">
                <anchor moveWithCells="1" sizeWithCells="1">
                  <from>
                    <xdr:col>1</xdr:col>
                    <xdr:colOff>1647825</xdr:colOff>
                    <xdr:row>44</xdr:row>
                    <xdr:rowOff>180975</xdr:rowOff>
                  </from>
                  <to>
                    <xdr:col>2</xdr:col>
                    <xdr:colOff>914400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3" name="Button 47">
              <controlPr defaultSize="0" print="0" autoFill="0" autoPict="0" macro="[0]!Очистка">
                <anchor moveWithCells="1" sizeWithCells="1">
                  <from>
                    <xdr:col>0</xdr:col>
                    <xdr:colOff>47625</xdr:colOff>
                    <xdr:row>52</xdr:row>
                    <xdr:rowOff>28575</xdr:rowOff>
                  </from>
                  <to>
                    <xdr:col>14</xdr:col>
                    <xdr:colOff>9525</xdr:colOff>
                    <xdr:row>57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52"/>
  <sheetViews>
    <sheetView tabSelected="1" zoomScaleNormal="100" workbookViewId="0">
      <selection activeCell="A4" sqref="A4"/>
    </sheetView>
  </sheetViews>
  <sheetFormatPr defaultRowHeight="15" x14ac:dyDescent="0.25"/>
  <cols>
    <col min="1" max="1" width="16.85546875" customWidth="1"/>
    <col min="3" max="3" width="17.85546875" customWidth="1"/>
    <col min="4" max="4" width="37.7109375" customWidth="1"/>
  </cols>
  <sheetData>
    <row r="1" spans="1:5" x14ac:dyDescent="0.25">
      <c r="A1" t="s">
        <v>41</v>
      </c>
      <c r="B1" t="s">
        <v>2</v>
      </c>
      <c r="C1" t="s">
        <v>42</v>
      </c>
      <c r="D1" t="s">
        <v>63</v>
      </c>
      <c r="E1" t="s">
        <v>65</v>
      </c>
    </row>
    <row r="2" spans="1:5" x14ac:dyDescent="0.25">
      <c r="A2" t="str">
        <f>INDEX(Ученики!D:D,Тест!G4+1)</f>
        <v>Леонид Родионов</v>
      </c>
      <c r="B2" t="str">
        <f>Тест!C6</f>
        <v>9А</v>
      </c>
      <c r="C2" s="2">
        <f ca="1">TODAY()</f>
        <v>39083</v>
      </c>
      <c r="D2" t="str">
        <f>CONCATENATE(COUNTIF(B4:B8,"Верно"),"\",COUNTIF(B4:B8,"Не верно"))</f>
        <v>0\0</v>
      </c>
      <c r="E2">
        <f>COUNTIF(B4:B8,"Верно")</f>
        <v>0</v>
      </c>
    </row>
    <row r="4" spans="1:5" x14ac:dyDescent="0.25">
      <c r="A4" t="s">
        <v>43</v>
      </c>
      <c r="B4">
        <f>Тест!E14</f>
        <v>0</v>
      </c>
    </row>
    <row r="5" spans="1:5" x14ac:dyDescent="0.25">
      <c r="A5" t="s">
        <v>44</v>
      </c>
      <c r="B5">
        <f>Тест!E22</f>
        <v>0</v>
      </c>
    </row>
    <row r="6" spans="1:5" x14ac:dyDescent="0.25">
      <c r="A6" t="s">
        <v>45</v>
      </c>
      <c r="B6">
        <f>Тест!E30</f>
        <v>0</v>
      </c>
    </row>
    <row r="7" spans="1:5" x14ac:dyDescent="0.25">
      <c r="A7" t="s">
        <v>46</v>
      </c>
      <c r="B7">
        <f>Тест!E39</f>
        <v>0</v>
      </c>
    </row>
    <row r="8" spans="1:5" x14ac:dyDescent="0.25">
      <c r="A8" t="s">
        <v>47</v>
      </c>
      <c r="B8">
        <f>Тест!E47</f>
        <v>0</v>
      </c>
    </row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Завершить_тестс">
                <anchor moveWithCells="1" sizeWithCells="1">
                  <from>
                    <xdr:col>3</xdr:col>
                    <xdr:colOff>1104900</xdr:colOff>
                    <xdr:row>8</xdr:row>
                    <xdr:rowOff>180975</xdr:rowOff>
                  </from>
                  <to>
                    <xdr:col>5</xdr:col>
                    <xdr:colOff>600075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27"/>
  <sheetViews>
    <sheetView zoomScaleNormal="100" workbookViewId="0">
      <selection activeCell="A2" sqref="A2:XFD2"/>
    </sheetView>
  </sheetViews>
  <sheetFormatPr defaultRowHeight="15" x14ac:dyDescent="0.25"/>
  <cols>
    <col min="1" max="1" width="14" customWidth="1"/>
    <col min="3" max="3" width="17.140625" customWidth="1"/>
    <col min="4" max="4" width="36.85546875" customWidth="1"/>
  </cols>
  <sheetData>
    <row r="1" spans="1:5" x14ac:dyDescent="0.25">
      <c r="A1" t="s">
        <v>41</v>
      </c>
      <c r="B1" t="s">
        <v>2</v>
      </c>
      <c r="C1" t="s">
        <v>42</v>
      </c>
      <c r="D1" t="s">
        <v>64</v>
      </c>
      <c r="E1" t="s">
        <v>65</v>
      </c>
    </row>
    <row r="3" spans="1:5" x14ac:dyDescent="0.25">
      <c r="A3" t="s">
        <v>62</v>
      </c>
      <c r="B3" t="s">
        <v>20</v>
      </c>
      <c r="C3">
        <v>39083</v>
      </c>
      <c r="D3" t="s">
        <v>61</v>
      </c>
      <c r="E3">
        <v>0</v>
      </c>
    </row>
    <row r="4" spans="1:5" x14ac:dyDescent="0.25">
      <c r="A4" t="s">
        <v>62</v>
      </c>
      <c r="B4" t="s">
        <v>20</v>
      </c>
      <c r="C4">
        <v>39083</v>
      </c>
      <c r="D4" t="s">
        <v>66</v>
      </c>
      <c r="E4">
        <v>2</v>
      </c>
    </row>
    <row r="5" spans="1:5" x14ac:dyDescent="0.25">
      <c r="A5" t="s">
        <v>62</v>
      </c>
      <c r="B5" t="s">
        <v>20</v>
      </c>
      <c r="C5">
        <v>39083</v>
      </c>
      <c r="D5" t="s">
        <v>61</v>
      </c>
    </row>
    <row r="6" spans="1:5" x14ac:dyDescent="0.25">
      <c r="A6" t="s">
        <v>62</v>
      </c>
      <c r="B6" t="s">
        <v>20</v>
      </c>
      <c r="C6">
        <v>39083</v>
      </c>
      <c r="D6" t="s">
        <v>61</v>
      </c>
    </row>
    <row r="7" spans="1:5" x14ac:dyDescent="0.25">
      <c r="A7" t="s">
        <v>62</v>
      </c>
      <c r="B7" t="s">
        <v>20</v>
      </c>
      <c r="C7">
        <v>39083</v>
      </c>
      <c r="D7" t="s">
        <v>61</v>
      </c>
    </row>
    <row r="8" spans="1:5" x14ac:dyDescent="0.25">
      <c r="A8" t="s">
        <v>62</v>
      </c>
      <c r="B8" t="s">
        <v>20</v>
      </c>
      <c r="C8">
        <v>39083</v>
      </c>
      <c r="D8" t="s">
        <v>61</v>
      </c>
    </row>
    <row r="9" spans="1:5" x14ac:dyDescent="0.25">
      <c r="A9" t="s">
        <v>62</v>
      </c>
      <c r="B9" t="s">
        <v>20</v>
      </c>
      <c r="C9">
        <v>39083</v>
      </c>
      <c r="D9" t="s">
        <v>61</v>
      </c>
    </row>
    <row r="10" spans="1:5" x14ac:dyDescent="0.25">
      <c r="A10" t="s">
        <v>62</v>
      </c>
      <c r="B10" t="s">
        <v>20</v>
      </c>
      <c r="C10">
        <v>39083</v>
      </c>
      <c r="D10" t="s">
        <v>61</v>
      </c>
    </row>
    <row r="11" spans="1:5" x14ac:dyDescent="0.25">
      <c r="A11" t="s">
        <v>62</v>
      </c>
      <c r="B11" t="s">
        <v>20</v>
      </c>
      <c r="C11">
        <v>39083</v>
      </c>
      <c r="D11" t="s">
        <v>61</v>
      </c>
    </row>
    <row r="12" spans="1:5" x14ac:dyDescent="0.25">
      <c r="A12" t="s">
        <v>62</v>
      </c>
      <c r="B12" t="s">
        <v>20</v>
      </c>
      <c r="C12">
        <v>39083</v>
      </c>
      <c r="D12" t="s">
        <v>61</v>
      </c>
    </row>
    <row r="13" spans="1:5" x14ac:dyDescent="0.25">
      <c r="A13" t="s">
        <v>62</v>
      </c>
      <c r="B13" t="s">
        <v>20</v>
      </c>
      <c r="C13">
        <v>39083</v>
      </c>
      <c r="D13" t="s">
        <v>61</v>
      </c>
    </row>
    <row r="14" spans="1:5" x14ac:dyDescent="0.25">
      <c r="A14" t="s">
        <v>62</v>
      </c>
      <c r="B14" t="s">
        <v>20</v>
      </c>
      <c r="C14">
        <v>39083</v>
      </c>
      <c r="D14" t="s">
        <v>61</v>
      </c>
    </row>
    <row r="15" spans="1:5" x14ac:dyDescent="0.25">
      <c r="A15" t="s">
        <v>62</v>
      </c>
      <c r="B15" t="s">
        <v>20</v>
      </c>
      <c r="C15">
        <v>39083</v>
      </c>
      <c r="D15" t="s">
        <v>61</v>
      </c>
    </row>
    <row r="16" spans="1:5" x14ac:dyDescent="0.25">
      <c r="A16" t="s">
        <v>62</v>
      </c>
      <c r="B16" t="s">
        <v>20</v>
      </c>
      <c r="C16">
        <v>39083</v>
      </c>
      <c r="D16" t="s">
        <v>61</v>
      </c>
    </row>
    <row r="17" spans="1:4" x14ac:dyDescent="0.25">
      <c r="A17" t="s">
        <v>62</v>
      </c>
      <c r="B17" t="s">
        <v>20</v>
      </c>
      <c r="C17">
        <v>39083</v>
      </c>
      <c r="D17" t="s">
        <v>58</v>
      </c>
    </row>
    <row r="18" spans="1:4" x14ac:dyDescent="0.25">
      <c r="A18" t="s">
        <v>62</v>
      </c>
      <c r="B18" t="s">
        <v>20</v>
      </c>
      <c r="C18">
        <v>39083</v>
      </c>
      <c r="D18" t="s">
        <v>58</v>
      </c>
    </row>
    <row r="19" spans="1:4" x14ac:dyDescent="0.25">
      <c r="A19" t="s">
        <v>59</v>
      </c>
      <c r="B19" t="s">
        <v>22</v>
      </c>
      <c r="C19">
        <v>39083</v>
      </c>
      <c r="D19" t="s">
        <v>61</v>
      </c>
    </row>
    <row r="20" spans="1:4" x14ac:dyDescent="0.25">
      <c r="A20" t="s">
        <v>59</v>
      </c>
      <c r="B20" t="s">
        <v>22</v>
      </c>
      <c r="C20">
        <v>44739</v>
      </c>
      <c r="D20" t="s">
        <v>60</v>
      </c>
    </row>
    <row r="21" spans="1:4" x14ac:dyDescent="0.25">
      <c r="A21" t="s">
        <v>57</v>
      </c>
      <c r="B21" t="s">
        <v>22</v>
      </c>
      <c r="C21">
        <v>44739</v>
      </c>
      <c r="D21" t="s">
        <v>58</v>
      </c>
    </row>
    <row r="22" spans="1:4" x14ac:dyDescent="0.25">
      <c r="A22" t="s">
        <v>57</v>
      </c>
      <c r="B22" t="s">
        <v>22</v>
      </c>
      <c r="C22">
        <v>44739</v>
      </c>
      <c r="D22" t="s">
        <v>55</v>
      </c>
    </row>
    <row r="23" spans="1:4" x14ac:dyDescent="0.25">
      <c r="A23" t="s">
        <v>57</v>
      </c>
      <c r="B23" t="s">
        <v>22</v>
      </c>
      <c r="C23">
        <v>44739</v>
      </c>
      <c r="D23" t="s">
        <v>55</v>
      </c>
    </row>
    <row r="24" spans="1:4" x14ac:dyDescent="0.25">
      <c r="A24" t="s">
        <v>56</v>
      </c>
      <c r="B24" t="s">
        <v>21</v>
      </c>
      <c r="C24">
        <v>44739</v>
      </c>
      <c r="D24" t="s">
        <v>55</v>
      </c>
    </row>
    <row r="27" spans="1:4" x14ac:dyDescent="0.25">
      <c r="C2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Ученики</vt:lpstr>
      <vt:lpstr>Тест</vt:lpstr>
      <vt:lpstr>Отчёт</vt:lpstr>
      <vt:lpstr>Ведомость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Неборак</dc:creator>
  <cp:lastModifiedBy>User</cp:lastModifiedBy>
  <dcterms:created xsi:type="dcterms:W3CDTF">2022-06-27T05:56:25Z</dcterms:created>
  <dcterms:modified xsi:type="dcterms:W3CDTF">2006-12-31T13:01:04Z</dcterms:modified>
</cp:coreProperties>
</file>