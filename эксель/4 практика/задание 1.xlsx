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Лист1" sheetId="1" r:id="rId1"/>
    <sheet name="1" sheetId="3" r:id="rId2"/>
    <sheet name="2" sheetId="4" r:id="rId3"/>
    <sheet name="3" sheetId="5" r:id="rId4"/>
    <sheet name="4" sheetId="6" r:id="rId5"/>
    <sheet name="5" sheetId="7" r:id="rId6"/>
    <sheet name="Сводные таблицы" sheetId="2" r:id="rId7"/>
  </sheets>
  <definedNames>
    <definedName name="_xlnm._FilterDatabase" localSheetId="1" hidden="1">'1'!$A$1:$G$25</definedName>
    <definedName name="_xlnm._FilterDatabase" localSheetId="0" hidden="1">Лист1!$A$1:$G$19</definedName>
  </definedNames>
  <calcPr calcId="162913"/>
  <pivotCaches>
    <pivotCache cacheId="2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" i="7" l="1"/>
  <c r="A18" i="7"/>
  <c r="A8" i="7"/>
  <c r="A4" i="7"/>
  <c r="A24" i="7" s="1"/>
  <c r="C26" i="5"/>
  <c r="C23" i="5"/>
  <c r="C20" i="5"/>
  <c r="C13" i="5"/>
  <c r="C11" i="5"/>
  <c r="C8" i="5"/>
  <c r="C6" i="5"/>
  <c r="C27" i="5" s="1"/>
  <c r="D23" i="6"/>
  <c r="D18" i="6"/>
  <c r="D8" i="6"/>
  <c r="D4" i="6"/>
  <c r="D24" i="6" s="1"/>
  <c r="D23" i="4"/>
  <c r="D16" i="4"/>
  <c r="D8" i="4"/>
  <c r="D5" i="4"/>
  <c r="D24" i="4" s="1"/>
  <c r="D26" i="3"/>
  <c r="D23" i="3"/>
  <c r="D20" i="3"/>
  <c r="D13" i="3"/>
  <c r="D11" i="3"/>
  <c r="D8" i="3"/>
  <c r="D6" i="3"/>
  <c r="D27" i="3" s="1"/>
</calcChain>
</file>

<file path=xl/sharedStrings.xml><?xml version="1.0" encoding="utf-8"?>
<sst xmlns="http://schemas.openxmlformats.org/spreadsheetml/2006/main" count="550" uniqueCount="66">
  <si>
    <t>Название книги</t>
  </si>
  <si>
    <t>Автор</t>
  </si>
  <si>
    <t>Издательство</t>
  </si>
  <si>
    <t>Кол-во</t>
  </si>
  <si>
    <t>Цена</t>
  </si>
  <si>
    <t>Обложка</t>
  </si>
  <si>
    <t>Год издания</t>
  </si>
  <si>
    <t>Толстой</t>
  </si>
  <si>
    <t>Тургенев</t>
  </si>
  <si>
    <t>Достоевский</t>
  </si>
  <si>
    <t>Лондон</t>
  </si>
  <si>
    <t>Маршак</t>
  </si>
  <si>
    <t>Цвейг</t>
  </si>
  <si>
    <t>Драйзер</t>
  </si>
  <si>
    <t>Луч</t>
  </si>
  <si>
    <t>Волга</t>
  </si>
  <si>
    <t>Мир</t>
  </si>
  <si>
    <t>Азбука</t>
  </si>
  <si>
    <t>Анна Каренина</t>
  </si>
  <si>
    <t>Война и мир</t>
  </si>
  <si>
    <t>Отцы и дети</t>
  </si>
  <si>
    <t>Бедные люди</t>
  </si>
  <si>
    <t>Белый клык</t>
  </si>
  <si>
    <t>Дядя Стёпа</t>
  </si>
  <si>
    <t>Новеллы</t>
  </si>
  <si>
    <t>Гений</t>
  </si>
  <si>
    <t>Мария Стюарт</t>
  </si>
  <si>
    <t>Белое безмолвие</t>
  </si>
  <si>
    <t>Преступление и наказание</t>
  </si>
  <si>
    <t>Севастопольские рассказы</t>
  </si>
  <si>
    <t>Король Лир</t>
  </si>
  <si>
    <t>суперобложка</t>
  </si>
  <si>
    <t>твёрдая</t>
  </si>
  <si>
    <t>мягкая</t>
  </si>
  <si>
    <t>Названия строк</t>
  </si>
  <si>
    <t>Общий итог</t>
  </si>
  <si>
    <t>Сумма по полю Кол-во</t>
  </si>
  <si>
    <t>Сумма по полю Цена</t>
  </si>
  <si>
    <t>(несколько элементов)</t>
  </si>
  <si>
    <t>Общее количество</t>
  </si>
  <si>
    <t>Толстой Количество</t>
  </si>
  <si>
    <t>Тургенев Количество</t>
  </si>
  <si>
    <t>Достоевский Количество</t>
  </si>
  <si>
    <t>Лондон Количество</t>
  </si>
  <si>
    <t>Маршак Количество</t>
  </si>
  <si>
    <t>Цвейг Количество</t>
  </si>
  <si>
    <t>Драйзер Количество</t>
  </si>
  <si>
    <t>Толстой Итог</t>
  </si>
  <si>
    <t>Тургенев Итог</t>
  </si>
  <si>
    <t>Достоевский Итог</t>
  </si>
  <si>
    <t>Лондон Итог</t>
  </si>
  <si>
    <t>Маршак Итог</t>
  </si>
  <si>
    <t>Цвейг Итог</t>
  </si>
  <si>
    <t>Драйзер Итог</t>
  </si>
  <si>
    <t>Азбука Итог</t>
  </si>
  <si>
    <t>Волга Итог</t>
  </si>
  <si>
    <t>Луч Итог</t>
  </si>
  <si>
    <t>Мир Итог</t>
  </si>
  <si>
    <t>1997 Количество</t>
  </si>
  <si>
    <t>1998 Количество</t>
  </si>
  <si>
    <t>2000 Количество</t>
  </si>
  <si>
    <t>2001 Количество</t>
  </si>
  <si>
    <t>1997 Итог</t>
  </si>
  <si>
    <t>1998 Итог</t>
  </si>
  <si>
    <t>2000 Итог</t>
  </si>
  <si>
    <t>2001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</si>
</sst>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#,##0&quot;р.&quot;;[Red]\-#,##0&quot;р.&quot;"/>
  </numFmts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NumberFormat="1"/>
    <xf numFmtId="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1"/>
    <xf numFmtId="0" fontId="1" fillId="2" borderId="0" xfId="1" applyNumberFormat="1"/>
    <xf numFmtId="0" fontId="2" fillId="0" borderId="0" xfId="0" applyFont="1"/>
  </cellXfs>
  <cellStyles count="2">
    <cellStyle name="Обычный" xfId="0" builtinId="0"/>
    <cellStyle name="Плохой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39083.022614930553" createdVersion="6" refreshedVersion="6" minRefreshableVersion="3" recordCount="18">
  <cacheSource type="worksheet">
    <worksheetSource ref="A1:G19" sheet="Лист1"/>
  </cacheSource>
  <cacheFields count="7">
    <cacheField name="Название книги" numFmtId="0">
      <sharedItems count="13">
        <s v="Анна Каренина"/>
        <s v="Война и мир"/>
        <s v="Отцы и дети"/>
        <s v="Бедные люди"/>
        <s v="Белый клык"/>
        <s v="Дядя Стёпа"/>
        <s v="Новеллы"/>
        <s v="Гений"/>
        <s v="Мария Стюарт"/>
        <s v="Белое безмолвие"/>
        <s v="Преступление и наказание"/>
        <s v="Севастопольские рассказы"/>
        <s v="Король Лир"/>
      </sharedItems>
    </cacheField>
    <cacheField name="Автор" numFmtId="0">
      <sharedItems count="7">
        <s v="Толстой"/>
        <s v="Тургенев"/>
        <s v="Достоевский"/>
        <s v="Лондон"/>
        <s v="Маршак"/>
        <s v="Цвейг"/>
        <s v="Драйзер"/>
      </sharedItems>
    </cacheField>
    <cacheField name="Издательство" numFmtId="0">
      <sharedItems count="4">
        <s v="Луч"/>
        <s v="Волга"/>
        <s v="Мир"/>
        <s v="Азбука"/>
      </sharedItems>
    </cacheField>
    <cacheField name="Кол-во" numFmtId="0">
      <sharedItems containsSemiMixedTypes="0" containsString="0" containsNumber="1" containsInteger="1" minValue="1" maxValue="7"/>
    </cacheField>
    <cacheField name="Цена" numFmtId="6">
      <sharedItems containsSemiMixedTypes="0" containsString="0" containsNumber="1" containsInteger="1" minValue="15" maxValue="250"/>
    </cacheField>
    <cacheField name="Обложка" numFmtId="0">
      <sharedItems count="3">
        <s v="суперобложка"/>
        <s v="твёрдая"/>
        <s v="мягкая"/>
      </sharedItems>
    </cacheField>
    <cacheField name="Год издания" numFmtId="0">
      <sharedItems containsSemiMixedTypes="0" containsString="0" containsNumber="1" containsInteger="1" minValue="1997" maxValue="2001" count="4">
        <n v="1998"/>
        <n v="2000"/>
        <n v="1997"/>
        <n v="2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x v="0"/>
    <n v="2"/>
    <n v="200"/>
    <x v="0"/>
    <x v="0"/>
  </r>
  <r>
    <x v="1"/>
    <x v="0"/>
    <x v="1"/>
    <n v="4"/>
    <n v="200"/>
    <x v="1"/>
    <x v="1"/>
  </r>
  <r>
    <x v="2"/>
    <x v="1"/>
    <x v="2"/>
    <n v="4"/>
    <n v="100"/>
    <x v="1"/>
    <x v="2"/>
  </r>
  <r>
    <x v="3"/>
    <x v="2"/>
    <x v="2"/>
    <n v="2"/>
    <n v="95"/>
    <x v="1"/>
    <x v="1"/>
  </r>
  <r>
    <x v="4"/>
    <x v="3"/>
    <x v="0"/>
    <n v="5"/>
    <n v="100"/>
    <x v="1"/>
    <x v="2"/>
  </r>
  <r>
    <x v="5"/>
    <x v="4"/>
    <x v="0"/>
    <n v="7"/>
    <n v="50"/>
    <x v="2"/>
    <x v="3"/>
  </r>
  <r>
    <x v="6"/>
    <x v="5"/>
    <x v="2"/>
    <n v="1"/>
    <n v="150"/>
    <x v="0"/>
    <x v="1"/>
  </r>
  <r>
    <x v="1"/>
    <x v="0"/>
    <x v="0"/>
    <n v="1"/>
    <n v="220"/>
    <x v="1"/>
    <x v="1"/>
  </r>
  <r>
    <x v="3"/>
    <x v="2"/>
    <x v="0"/>
    <n v="4"/>
    <n v="70"/>
    <x v="2"/>
    <x v="1"/>
  </r>
  <r>
    <x v="7"/>
    <x v="6"/>
    <x v="1"/>
    <n v="5"/>
    <n v="80"/>
    <x v="1"/>
    <x v="1"/>
  </r>
  <r>
    <x v="3"/>
    <x v="2"/>
    <x v="3"/>
    <n v="4"/>
    <n v="90"/>
    <x v="1"/>
    <x v="3"/>
  </r>
  <r>
    <x v="8"/>
    <x v="5"/>
    <x v="0"/>
    <n v="3"/>
    <n v="15"/>
    <x v="2"/>
    <x v="1"/>
  </r>
  <r>
    <x v="9"/>
    <x v="3"/>
    <x v="2"/>
    <n v="1"/>
    <n v="80"/>
    <x v="2"/>
    <x v="0"/>
  </r>
  <r>
    <x v="10"/>
    <x v="2"/>
    <x v="3"/>
    <n v="2"/>
    <n v="120"/>
    <x v="1"/>
    <x v="3"/>
  </r>
  <r>
    <x v="11"/>
    <x v="0"/>
    <x v="2"/>
    <n v="3"/>
    <n v="50"/>
    <x v="2"/>
    <x v="0"/>
  </r>
  <r>
    <x v="1"/>
    <x v="0"/>
    <x v="3"/>
    <n v="1"/>
    <n v="250"/>
    <x v="0"/>
    <x v="1"/>
  </r>
  <r>
    <x v="1"/>
    <x v="0"/>
    <x v="2"/>
    <n v="2"/>
    <n v="250"/>
    <x v="1"/>
    <x v="3"/>
  </r>
  <r>
    <x v="12"/>
    <x v="1"/>
    <x v="0"/>
    <n v="3"/>
    <n v="65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2" cacheId="2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E27:E28" firstHeaderRow="1" firstDataRow="1" firstDataCol="0" rowPageCount="1" colPageCount="1"/>
  <pivotFields count="7">
    <pivotField showAll="0"/>
    <pivotField showAll="0"/>
    <pivotField showAll="0"/>
    <pivotField dataField="1" showAll="0"/>
    <pivotField numFmtId="6" showAll="0"/>
    <pivotField showAll="0"/>
    <pivotField axis="axisPage" multipleItemSelectionAllowed="1" showAll="0">
      <items count="5">
        <item h="1" x="2"/>
        <item h="1" x="0"/>
        <item x="1"/>
        <item x="3"/>
        <item t="default"/>
      </items>
    </pivotField>
  </pivotFields>
  <rowItems count="1">
    <i/>
  </rowItems>
  <colItems count="1">
    <i/>
  </colItems>
  <pageFields count="1">
    <pageField fld="6" hier="-1"/>
  </pageFields>
  <dataFields count="1">
    <dataField name="Сумма по полю Кол-во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10" cacheId="2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B41:C45" firstHeaderRow="1" firstDataRow="1" firstDataCol="1"/>
  <pivotFields count="7">
    <pivotField showAll="0"/>
    <pivotField showAll="0"/>
    <pivotField showAll="0"/>
    <pivotField dataField="1" showAll="0"/>
    <pivotField numFmtId="6"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умма по полю Кол-во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9" cacheId="2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B37:C39" firstHeaderRow="1" firstDataRow="1" firstDataCol="1"/>
  <pivotFields count="7">
    <pivotField showAll="0"/>
    <pivotField axis="axisRow" showAll="0">
      <items count="8">
        <item h="1" x="2"/>
        <item h="1" x="6"/>
        <item h="1" x="3"/>
        <item h="1" x="4"/>
        <item x="0"/>
        <item h="1" x="1"/>
        <item h="1" x="5"/>
        <item t="default"/>
      </items>
    </pivotField>
    <pivotField showAll="0"/>
    <pivotField showAll="0"/>
    <pivotField dataField="1" numFmtId="6" showAll="0"/>
    <pivotField showAll="0"/>
    <pivotField showAll="0"/>
  </pivotFields>
  <rowFields count="1">
    <field x="1"/>
  </rowFields>
  <rowItems count="2">
    <i>
      <x v="4"/>
    </i>
    <i t="grand">
      <x/>
    </i>
  </rowItems>
  <colItems count="1">
    <i/>
  </colItems>
  <dataFields count="1">
    <dataField name="Сумма по полю Цена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таблица8" cacheId="2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B30:C35" firstHeaderRow="1" firstDataRow="1" firstDataCol="1"/>
  <pivotFields count="7">
    <pivotField showAll="0"/>
    <pivotField axis="axisRow" showAll="0">
      <items count="8">
        <item x="2"/>
        <item h="1" x="6"/>
        <item h="1" x="3"/>
        <item h="1" x="4"/>
        <item h="1" x="0"/>
        <item h="1" x="1"/>
        <item h="1" x="5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dataField="1" showAll="0"/>
    <pivotField numFmtId="6" showAll="0"/>
    <pivotField showAll="0"/>
    <pivotField showAll="0"/>
  </pivotFields>
  <rowFields count="2">
    <field x="1"/>
    <field x="2"/>
  </rowFields>
  <rowItems count="5">
    <i>
      <x/>
    </i>
    <i r="1">
      <x/>
    </i>
    <i r="1">
      <x v="2"/>
    </i>
    <i r="1">
      <x v="3"/>
    </i>
    <i t="grand">
      <x/>
    </i>
  </rowItems>
  <colItems count="1">
    <i/>
  </colItems>
  <dataFields count="1">
    <dataField name="Сумма по полю Кол-во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Сводная таблица7" cacheId="2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B27:B28" firstHeaderRow="1" firstDataRow="1" firstDataCol="0"/>
  <pivotFields count="7">
    <pivotField showAll="0"/>
    <pivotField showAll="0"/>
    <pivotField showAll="0"/>
    <pivotField dataField="1" showAll="0"/>
    <pivotField numFmtId="6" showAll="0"/>
    <pivotField showAll="0"/>
    <pivotField showAll="0">
      <items count="5">
        <item h="1" x="2"/>
        <item h="1" x="0"/>
        <item x="1"/>
        <item x="3"/>
        <item t="default"/>
      </items>
    </pivotField>
  </pivotFields>
  <rowItems count="1">
    <i/>
  </rowItems>
  <colItems count="1">
    <i/>
  </colItems>
  <dataFields count="1">
    <dataField name="Сумма по полю Кол-во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Сводная таблица6" cacheId="2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B22:C25" firstHeaderRow="1" firstDataRow="1" firstDataCol="1"/>
  <pivotFields count="7">
    <pivotField axis="axisRow" showAll="0">
      <items count="14">
        <item h="1" x="0"/>
        <item x="3"/>
        <item h="1" x="9"/>
        <item h="1" x="4"/>
        <item h="1" x="1"/>
        <item h="1" x="7"/>
        <item h="1" x="5"/>
        <item h="1" x="12"/>
        <item h="1" x="8"/>
        <item h="1" x="6"/>
        <item h="1" x="2"/>
        <item h="1" x="10"/>
        <item h="1" x="11"/>
        <item t="default"/>
      </items>
    </pivotField>
    <pivotField showAll="0"/>
    <pivotField showAll="0"/>
    <pivotField dataField="1" showAll="0"/>
    <pivotField numFmtId="6" showAll="0"/>
    <pivotField axis="axisRow" showAll="0">
      <items count="4">
        <item h="1" x="2"/>
        <item h="1" x="0"/>
        <item x="1"/>
        <item t="default"/>
      </items>
    </pivotField>
    <pivotField showAll="0"/>
  </pivotFields>
  <rowFields count="2">
    <field x="0"/>
    <field x="5"/>
  </rowFields>
  <rowItems count="3">
    <i>
      <x v="1"/>
    </i>
    <i r="1">
      <x v="2"/>
    </i>
    <i t="grand">
      <x/>
    </i>
  </rowItems>
  <colItems count="1">
    <i/>
  </colItems>
  <dataFields count="1">
    <dataField name="Сумма по полю Кол-во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Сводная таблица5" cacheId="2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B16:C20" firstHeaderRow="1" firstDataRow="1" firstDataCol="1"/>
  <pivotFields count="7">
    <pivotField axis="axisRow" showAll="0">
      <items count="14">
        <item h="1" x="0"/>
        <item h="1" x="3"/>
        <item h="1" x="9"/>
        <item h="1" x="4"/>
        <item x="1"/>
        <item h="1" x="7"/>
        <item h="1" x="5"/>
        <item h="1" x="12"/>
        <item h="1" x="8"/>
        <item h="1" x="6"/>
        <item h="1" x="2"/>
        <item h="1" x="10"/>
        <item h="1" x="11"/>
        <item t="default"/>
      </items>
    </pivotField>
    <pivotField showAll="0"/>
    <pivotField axis="axisRow" showAll="0">
      <items count="5">
        <item x="3"/>
        <item x="1"/>
        <item h="1" x="0"/>
        <item h="1" x="2"/>
        <item t="default"/>
      </items>
    </pivotField>
    <pivotField dataField="1" showAll="0"/>
    <pivotField numFmtId="6" showAll="0"/>
    <pivotField showAll="0"/>
    <pivotField showAll="0"/>
  </pivotFields>
  <rowFields count="2">
    <field x="0"/>
    <field x="2"/>
  </rowFields>
  <rowItems count="4">
    <i>
      <x v="4"/>
    </i>
    <i r="1">
      <x/>
    </i>
    <i r="1">
      <x v="1"/>
    </i>
    <i t="grand">
      <x/>
    </i>
  </rowItems>
  <colItems count="1">
    <i/>
  </colItems>
  <dataFields count="1">
    <dataField name="Сумма по полю Кол-во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Сводная таблица4" cacheId="2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B12:C14" firstHeaderRow="1" firstDataRow="1" firstDataCol="1"/>
  <pivotFields count="7">
    <pivotField showAll="0"/>
    <pivotField axis="axisRow" showAll="0">
      <items count="8">
        <item x="2"/>
        <item h="1" x="6"/>
        <item h="1" x="3"/>
        <item h="1" x="4"/>
        <item h="1" x="0"/>
        <item h="1" x="1"/>
        <item h="1" x="5"/>
        <item t="default"/>
      </items>
    </pivotField>
    <pivotField showAll="0"/>
    <pivotField dataField="1" showAll="0"/>
    <pivotField numFmtId="6" showAll="0"/>
    <pivotField showAll="0"/>
    <pivotField showAll="0">
      <items count="5">
        <item h="1" x="2"/>
        <item h="1" x="0"/>
        <item h="1" x="1"/>
        <item x="3"/>
        <item t="default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name="Сумма по полю Кол-во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Сводная таблица3" cacheId="2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B7:C10" firstHeaderRow="1" firstDataRow="1" firstDataCol="1"/>
  <pivotFields count="7">
    <pivotField showAll="0"/>
    <pivotField axis="axisRow" showAll="0">
      <items count="8">
        <item h="1" x="2"/>
        <item h="1" x="6"/>
        <item h="1" x="3"/>
        <item h="1" x="4"/>
        <item x="0"/>
        <item h="1" x="1"/>
        <item h="1" x="5"/>
        <item t="default"/>
      </items>
    </pivotField>
    <pivotField axis="axisRow" showAll="0">
      <items count="5">
        <item h="1" x="3"/>
        <item h="1" x="1"/>
        <item h="1" x="0"/>
        <item x="2"/>
        <item t="default"/>
      </items>
    </pivotField>
    <pivotField dataField="1" showAll="0"/>
    <pivotField numFmtId="6" showAll="0"/>
    <pivotField showAll="0"/>
    <pivotField showAll="0"/>
  </pivotFields>
  <rowFields count="2">
    <field x="2"/>
    <field x="1"/>
  </rowFields>
  <rowItems count="3">
    <i>
      <x v="3"/>
    </i>
    <i r="1">
      <x v="4"/>
    </i>
    <i t="grand">
      <x/>
    </i>
  </rowItems>
  <colItems count="1">
    <i/>
  </colItems>
  <dataFields count="1">
    <dataField name="Сумма по полю Кол-во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Сводная таблица2" cacheId="2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B2:C4" firstHeaderRow="1" firstDataRow="1" firstDataCol="1"/>
  <pivotFields count="7">
    <pivotField showAll="0"/>
    <pivotField showAll="0"/>
    <pivotField axis="axisRow" showAll="0">
      <items count="5">
        <item h="1" x="3"/>
        <item h="1" x="1"/>
        <item x="0"/>
        <item h="1" x="2"/>
        <item t="default"/>
      </items>
    </pivotField>
    <pivotField dataField="1" showAll="0"/>
    <pivotField numFmtId="6" showAll="0"/>
    <pivotField showAll="0"/>
    <pivotField showAll="0"/>
  </pivotFields>
  <rowFields count="1">
    <field x="2"/>
  </rowFields>
  <rowItems count="2">
    <i>
      <x v="2"/>
    </i>
    <i t="grand">
      <x/>
    </i>
  </rowItems>
  <colItems count="1">
    <i/>
  </colItems>
  <dataFields count="1">
    <dataField name="Сумма по полю Кол-во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K13" sqref="K13"/>
    </sheetView>
  </sheetViews>
  <sheetFormatPr defaultRowHeight="15" x14ac:dyDescent="0.25"/>
  <cols>
    <col min="1" max="1" width="26.5703125" customWidth="1"/>
    <col min="2" max="2" width="14" customWidth="1"/>
    <col min="3" max="3" width="16.85546875" customWidth="1"/>
    <col min="4" max="4" width="15" customWidth="1"/>
    <col min="5" max="5" width="13.42578125" customWidth="1"/>
    <col min="6" max="6" width="14.28515625" customWidth="1"/>
    <col min="7" max="7" width="14" customWidth="1"/>
    <col min="10" max="10" width="13.5703125" customWidth="1"/>
    <col min="11" max="11" width="12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18</v>
      </c>
      <c r="B2" t="s">
        <v>7</v>
      </c>
      <c r="C2" t="s">
        <v>14</v>
      </c>
      <c r="D2">
        <v>2</v>
      </c>
      <c r="E2" s="2">
        <v>200</v>
      </c>
      <c r="F2" t="s">
        <v>31</v>
      </c>
      <c r="G2">
        <v>1998</v>
      </c>
    </row>
    <row r="3" spans="1:7" x14ac:dyDescent="0.25">
      <c r="A3" t="s">
        <v>19</v>
      </c>
      <c r="B3" t="s">
        <v>7</v>
      </c>
      <c r="C3" t="s">
        <v>15</v>
      </c>
      <c r="D3">
        <v>4</v>
      </c>
      <c r="E3" s="2">
        <v>200</v>
      </c>
      <c r="F3" t="s">
        <v>32</v>
      </c>
      <c r="G3">
        <v>2000</v>
      </c>
    </row>
    <row r="4" spans="1:7" x14ac:dyDescent="0.25">
      <c r="A4" t="s">
        <v>20</v>
      </c>
      <c r="B4" t="s">
        <v>8</v>
      </c>
      <c r="C4" t="s">
        <v>16</v>
      </c>
      <c r="D4">
        <v>4</v>
      </c>
      <c r="E4" s="2">
        <v>100</v>
      </c>
      <c r="F4" t="s">
        <v>32</v>
      </c>
      <c r="G4">
        <v>1997</v>
      </c>
    </row>
    <row r="5" spans="1:7" x14ac:dyDescent="0.25">
      <c r="A5" t="s">
        <v>21</v>
      </c>
      <c r="B5" t="s">
        <v>9</v>
      </c>
      <c r="C5" t="s">
        <v>16</v>
      </c>
      <c r="D5">
        <v>2</v>
      </c>
      <c r="E5" s="2">
        <v>95</v>
      </c>
      <c r="F5" t="s">
        <v>32</v>
      </c>
      <c r="G5">
        <v>2000</v>
      </c>
    </row>
    <row r="6" spans="1:7" x14ac:dyDescent="0.25">
      <c r="A6" t="s">
        <v>22</v>
      </c>
      <c r="B6" t="s">
        <v>10</v>
      </c>
      <c r="C6" t="s">
        <v>14</v>
      </c>
      <c r="D6">
        <v>5</v>
      </c>
      <c r="E6" s="2">
        <v>100</v>
      </c>
      <c r="F6" t="s">
        <v>32</v>
      </c>
      <c r="G6">
        <v>1997</v>
      </c>
    </row>
    <row r="7" spans="1:7" x14ac:dyDescent="0.25">
      <c r="A7" t="s">
        <v>23</v>
      </c>
      <c r="B7" t="s">
        <v>11</v>
      </c>
      <c r="C7" t="s">
        <v>14</v>
      </c>
      <c r="D7">
        <v>7</v>
      </c>
      <c r="E7" s="2">
        <v>50</v>
      </c>
      <c r="F7" t="s">
        <v>33</v>
      </c>
      <c r="G7">
        <v>2001</v>
      </c>
    </row>
    <row r="8" spans="1:7" x14ac:dyDescent="0.25">
      <c r="A8" t="s">
        <v>24</v>
      </c>
      <c r="B8" t="s">
        <v>12</v>
      </c>
      <c r="C8" t="s">
        <v>16</v>
      </c>
      <c r="D8">
        <v>1</v>
      </c>
      <c r="E8" s="2">
        <v>150</v>
      </c>
      <c r="F8" t="s">
        <v>31</v>
      </c>
      <c r="G8">
        <v>2000</v>
      </c>
    </row>
    <row r="9" spans="1:7" x14ac:dyDescent="0.25">
      <c r="A9" t="s">
        <v>19</v>
      </c>
      <c r="B9" t="s">
        <v>7</v>
      </c>
      <c r="C9" t="s">
        <v>14</v>
      </c>
      <c r="D9">
        <v>1</v>
      </c>
      <c r="E9" s="2">
        <v>220</v>
      </c>
      <c r="F9" t="s">
        <v>32</v>
      </c>
      <c r="G9">
        <v>2000</v>
      </c>
    </row>
    <row r="10" spans="1:7" x14ac:dyDescent="0.25">
      <c r="A10" t="s">
        <v>21</v>
      </c>
      <c r="B10" t="s">
        <v>9</v>
      </c>
      <c r="C10" t="s">
        <v>14</v>
      </c>
      <c r="D10">
        <v>4</v>
      </c>
      <c r="E10" s="2">
        <v>70</v>
      </c>
      <c r="F10" t="s">
        <v>33</v>
      </c>
      <c r="G10">
        <v>2000</v>
      </c>
    </row>
    <row r="11" spans="1:7" x14ac:dyDescent="0.25">
      <c r="A11" t="s">
        <v>25</v>
      </c>
      <c r="B11" t="s">
        <v>13</v>
      </c>
      <c r="C11" t="s">
        <v>15</v>
      </c>
      <c r="D11">
        <v>5</v>
      </c>
      <c r="E11" s="2">
        <v>80</v>
      </c>
      <c r="F11" t="s">
        <v>32</v>
      </c>
      <c r="G11">
        <v>2000</v>
      </c>
    </row>
    <row r="12" spans="1:7" x14ac:dyDescent="0.25">
      <c r="A12" t="s">
        <v>21</v>
      </c>
      <c r="B12" t="s">
        <v>9</v>
      </c>
      <c r="C12" t="s">
        <v>17</v>
      </c>
      <c r="D12">
        <v>4</v>
      </c>
      <c r="E12" s="2">
        <v>90</v>
      </c>
      <c r="F12" t="s">
        <v>32</v>
      </c>
      <c r="G12">
        <v>2001</v>
      </c>
    </row>
    <row r="13" spans="1:7" x14ac:dyDescent="0.25">
      <c r="A13" t="s">
        <v>26</v>
      </c>
      <c r="B13" t="s">
        <v>12</v>
      </c>
      <c r="C13" t="s">
        <v>14</v>
      </c>
      <c r="D13">
        <v>3</v>
      </c>
      <c r="E13" s="2">
        <v>15</v>
      </c>
      <c r="F13" t="s">
        <v>33</v>
      </c>
      <c r="G13">
        <v>2000</v>
      </c>
    </row>
    <row r="14" spans="1:7" x14ac:dyDescent="0.25">
      <c r="A14" t="s">
        <v>27</v>
      </c>
      <c r="B14" t="s">
        <v>10</v>
      </c>
      <c r="C14" t="s">
        <v>16</v>
      </c>
      <c r="D14">
        <v>1</v>
      </c>
      <c r="E14" s="2">
        <v>80</v>
      </c>
      <c r="F14" t="s">
        <v>33</v>
      </c>
      <c r="G14">
        <v>1998</v>
      </c>
    </row>
    <row r="15" spans="1:7" x14ac:dyDescent="0.25">
      <c r="A15" t="s">
        <v>28</v>
      </c>
      <c r="B15" t="s">
        <v>9</v>
      </c>
      <c r="C15" t="s">
        <v>17</v>
      </c>
      <c r="D15">
        <v>2</v>
      </c>
      <c r="E15" s="2">
        <v>120</v>
      </c>
      <c r="F15" t="s">
        <v>32</v>
      </c>
      <c r="G15">
        <v>2001</v>
      </c>
    </row>
    <row r="16" spans="1:7" x14ac:dyDescent="0.25">
      <c r="A16" t="s">
        <v>29</v>
      </c>
      <c r="B16" t="s">
        <v>7</v>
      </c>
      <c r="C16" t="s">
        <v>16</v>
      </c>
      <c r="D16">
        <v>3</v>
      </c>
      <c r="E16" s="2">
        <v>50</v>
      </c>
      <c r="F16" t="s">
        <v>33</v>
      </c>
      <c r="G16">
        <v>1998</v>
      </c>
    </row>
    <row r="17" spans="1:7" x14ac:dyDescent="0.25">
      <c r="A17" t="s">
        <v>19</v>
      </c>
      <c r="B17" t="s">
        <v>7</v>
      </c>
      <c r="C17" t="s">
        <v>17</v>
      </c>
      <c r="D17">
        <v>1</v>
      </c>
      <c r="E17" s="2">
        <v>250</v>
      </c>
      <c r="F17" t="s">
        <v>31</v>
      </c>
      <c r="G17">
        <v>2000</v>
      </c>
    </row>
    <row r="18" spans="1:7" x14ac:dyDescent="0.25">
      <c r="A18" t="s">
        <v>19</v>
      </c>
      <c r="B18" t="s">
        <v>7</v>
      </c>
      <c r="C18" t="s">
        <v>16</v>
      </c>
      <c r="D18">
        <v>2</v>
      </c>
      <c r="E18" s="2">
        <v>250</v>
      </c>
      <c r="F18" t="s">
        <v>32</v>
      </c>
      <c r="G18">
        <v>2001</v>
      </c>
    </row>
    <row r="19" spans="1:7" x14ac:dyDescent="0.25">
      <c r="A19" t="s">
        <v>30</v>
      </c>
      <c r="B19" t="s">
        <v>8</v>
      </c>
      <c r="C19" t="s">
        <v>14</v>
      </c>
      <c r="D19">
        <v>3</v>
      </c>
      <c r="E19" s="2">
        <v>65</v>
      </c>
      <c r="F19" t="s">
        <v>33</v>
      </c>
      <c r="G19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sqref="A1:G27"/>
    </sheetView>
  </sheetViews>
  <sheetFormatPr defaultRowHeight="15" outlineLevelRow="2" x14ac:dyDescent="0.25"/>
  <cols>
    <col min="1" max="1" width="31.7109375" customWidth="1"/>
    <col min="2" max="2" width="14.42578125" customWidth="1"/>
    <col min="3" max="3" width="15.140625" customWidth="1"/>
    <col min="6" max="6" width="18.42578125" customWidth="1"/>
    <col min="7" max="7" width="13.4257812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outlineLevel="2" x14ac:dyDescent="0.25">
      <c r="A2" t="s">
        <v>21</v>
      </c>
      <c r="B2" t="s">
        <v>9</v>
      </c>
      <c r="C2" t="s">
        <v>16</v>
      </c>
      <c r="D2">
        <v>2</v>
      </c>
      <c r="E2" s="2">
        <v>95</v>
      </c>
      <c r="F2" t="s">
        <v>32</v>
      </c>
      <c r="G2">
        <v>2000</v>
      </c>
    </row>
    <row r="3" spans="1:7" hidden="1" outlineLevel="2" x14ac:dyDescent="0.25">
      <c r="A3" t="s">
        <v>21</v>
      </c>
      <c r="B3" t="s">
        <v>9</v>
      </c>
      <c r="C3" t="s">
        <v>14</v>
      </c>
      <c r="D3">
        <v>4</v>
      </c>
      <c r="E3" s="2">
        <v>70</v>
      </c>
      <c r="F3" t="s">
        <v>33</v>
      </c>
      <c r="G3">
        <v>2000</v>
      </c>
    </row>
    <row r="4" spans="1:7" hidden="1" outlineLevel="2" x14ac:dyDescent="0.25">
      <c r="A4" t="s">
        <v>21</v>
      </c>
      <c r="B4" t="s">
        <v>9</v>
      </c>
      <c r="C4" t="s">
        <v>17</v>
      </c>
      <c r="D4">
        <v>4</v>
      </c>
      <c r="E4" s="2">
        <v>90</v>
      </c>
      <c r="F4" t="s">
        <v>32</v>
      </c>
      <c r="G4">
        <v>2001</v>
      </c>
    </row>
    <row r="5" spans="1:7" hidden="1" outlineLevel="2" x14ac:dyDescent="0.25">
      <c r="A5" t="s">
        <v>28</v>
      </c>
      <c r="B5" t="s">
        <v>9</v>
      </c>
      <c r="C5" t="s">
        <v>17</v>
      </c>
      <c r="D5">
        <v>2</v>
      </c>
      <c r="E5" s="2">
        <v>120</v>
      </c>
      <c r="F5" t="s">
        <v>32</v>
      </c>
      <c r="G5">
        <v>2001</v>
      </c>
    </row>
    <row r="6" spans="1:7" outlineLevel="1" collapsed="1" x14ac:dyDescent="0.25">
      <c r="B6" s="8" t="s">
        <v>49</v>
      </c>
      <c r="D6">
        <f>SUBTOTAL(9,D2:D5)</f>
        <v>12</v>
      </c>
      <c r="E6" s="2"/>
    </row>
    <row r="7" spans="1:7" hidden="1" outlineLevel="2" x14ac:dyDescent="0.25">
      <c r="A7" t="s">
        <v>25</v>
      </c>
      <c r="B7" t="s">
        <v>13</v>
      </c>
      <c r="C7" t="s">
        <v>15</v>
      </c>
      <c r="D7">
        <v>5</v>
      </c>
      <c r="E7" s="2">
        <v>80</v>
      </c>
      <c r="F7" t="s">
        <v>32</v>
      </c>
      <c r="G7">
        <v>2000</v>
      </c>
    </row>
    <row r="8" spans="1:7" outlineLevel="1" collapsed="1" x14ac:dyDescent="0.25">
      <c r="B8" s="8" t="s">
        <v>53</v>
      </c>
      <c r="D8">
        <f>SUBTOTAL(9,D7:D7)</f>
        <v>5</v>
      </c>
      <c r="E8" s="2"/>
    </row>
    <row r="9" spans="1:7" hidden="1" outlineLevel="2" x14ac:dyDescent="0.25">
      <c r="A9" t="s">
        <v>22</v>
      </c>
      <c r="B9" t="s">
        <v>10</v>
      </c>
      <c r="C9" t="s">
        <v>14</v>
      </c>
      <c r="D9">
        <v>5</v>
      </c>
      <c r="E9" s="2">
        <v>100</v>
      </c>
      <c r="F9" t="s">
        <v>32</v>
      </c>
      <c r="G9">
        <v>1997</v>
      </c>
    </row>
    <row r="10" spans="1:7" hidden="1" outlineLevel="2" x14ac:dyDescent="0.25">
      <c r="A10" t="s">
        <v>27</v>
      </c>
      <c r="B10" t="s">
        <v>10</v>
      </c>
      <c r="C10" t="s">
        <v>16</v>
      </c>
      <c r="D10">
        <v>1</v>
      </c>
      <c r="E10" s="2">
        <v>80</v>
      </c>
      <c r="F10" t="s">
        <v>33</v>
      </c>
      <c r="G10">
        <v>1998</v>
      </c>
    </row>
    <row r="11" spans="1:7" outlineLevel="1" collapsed="1" x14ac:dyDescent="0.25">
      <c r="B11" s="8" t="s">
        <v>50</v>
      </c>
      <c r="D11">
        <f>SUBTOTAL(9,D9:D10)</f>
        <v>6</v>
      </c>
      <c r="E11" s="2"/>
    </row>
    <row r="12" spans="1:7" hidden="1" outlineLevel="2" x14ac:dyDescent="0.25">
      <c r="A12" t="s">
        <v>23</v>
      </c>
      <c r="B12" t="s">
        <v>11</v>
      </c>
      <c r="C12" t="s">
        <v>14</v>
      </c>
      <c r="D12">
        <v>7</v>
      </c>
      <c r="E12" s="2">
        <v>50</v>
      </c>
      <c r="F12" t="s">
        <v>33</v>
      </c>
      <c r="G12">
        <v>2001</v>
      </c>
    </row>
    <row r="13" spans="1:7" outlineLevel="1" collapsed="1" x14ac:dyDescent="0.25">
      <c r="B13" s="8" t="s">
        <v>51</v>
      </c>
      <c r="D13">
        <f>SUBTOTAL(9,D12:D12)</f>
        <v>7</v>
      </c>
      <c r="E13" s="2"/>
    </row>
    <row r="14" spans="1:7" hidden="1" outlineLevel="2" x14ac:dyDescent="0.25">
      <c r="A14" t="s">
        <v>18</v>
      </c>
      <c r="B14" t="s">
        <v>7</v>
      </c>
      <c r="C14" t="s">
        <v>14</v>
      </c>
      <c r="D14">
        <v>2</v>
      </c>
      <c r="E14" s="2">
        <v>200</v>
      </c>
      <c r="F14" t="s">
        <v>31</v>
      </c>
      <c r="G14">
        <v>1998</v>
      </c>
    </row>
    <row r="15" spans="1:7" hidden="1" outlineLevel="2" x14ac:dyDescent="0.25">
      <c r="A15" t="s">
        <v>19</v>
      </c>
      <c r="B15" t="s">
        <v>7</v>
      </c>
      <c r="C15" t="s">
        <v>15</v>
      </c>
      <c r="D15">
        <v>4</v>
      </c>
      <c r="E15" s="2">
        <v>200</v>
      </c>
      <c r="F15" t="s">
        <v>32</v>
      </c>
      <c r="G15">
        <v>2000</v>
      </c>
    </row>
    <row r="16" spans="1:7" hidden="1" outlineLevel="2" x14ac:dyDescent="0.25">
      <c r="A16" t="s">
        <v>19</v>
      </c>
      <c r="B16" t="s">
        <v>7</v>
      </c>
      <c r="C16" t="s">
        <v>14</v>
      </c>
      <c r="D16">
        <v>1</v>
      </c>
      <c r="E16" s="2">
        <v>220</v>
      </c>
      <c r="F16" t="s">
        <v>32</v>
      </c>
      <c r="G16">
        <v>2000</v>
      </c>
    </row>
    <row r="17" spans="1:7" hidden="1" outlineLevel="2" x14ac:dyDescent="0.25">
      <c r="A17" t="s">
        <v>29</v>
      </c>
      <c r="B17" t="s">
        <v>7</v>
      </c>
      <c r="C17" t="s">
        <v>16</v>
      </c>
      <c r="D17">
        <v>3</v>
      </c>
      <c r="E17" s="2">
        <v>50</v>
      </c>
      <c r="F17" t="s">
        <v>33</v>
      </c>
      <c r="G17">
        <v>1998</v>
      </c>
    </row>
    <row r="18" spans="1:7" hidden="1" outlineLevel="2" x14ac:dyDescent="0.25">
      <c r="A18" t="s">
        <v>19</v>
      </c>
      <c r="B18" t="s">
        <v>7</v>
      </c>
      <c r="C18" t="s">
        <v>17</v>
      </c>
      <c r="D18">
        <v>1</v>
      </c>
      <c r="E18" s="2">
        <v>250</v>
      </c>
      <c r="F18" t="s">
        <v>31</v>
      </c>
      <c r="G18">
        <v>2000</v>
      </c>
    </row>
    <row r="19" spans="1:7" hidden="1" outlineLevel="2" x14ac:dyDescent="0.25">
      <c r="A19" t="s">
        <v>19</v>
      </c>
      <c r="B19" t="s">
        <v>7</v>
      </c>
      <c r="C19" t="s">
        <v>16</v>
      </c>
      <c r="D19">
        <v>2</v>
      </c>
      <c r="E19" s="2">
        <v>250</v>
      </c>
      <c r="F19" t="s">
        <v>32</v>
      </c>
      <c r="G19">
        <v>2001</v>
      </c>
    </row>
    <row r="20" spans="1:7" outlineLevel="1" collapsed="1" x14ac:dyDescent="0.25">
      <c r="B20" s="8" t="s">
        <v>47</v>
      </c>
      <c r="D20">
        <f>SUBTOTAL(9,D14:D19)</f>
        <v>13</v>
      </c>
      <c r="E20" s="2"/>
    </row>
    <row r="21" spans="1:7" hidden="1" outlineLevel="2" x14ac:dyDescent="0.25">
      <c r="A21" t="s">
        <v>20</v>
      </c>
      <c r="B21" t="s">
        <v>8</v>
      </c>
      <c r="C21" t="s">
        <v>16</v>
      </c>
      <c r="D21">
        <v>4</v>
      </c>
      <c r="E21" s="2">
        <v>100</v>
      </c>
      <c r="F21" t="s">
        <v>32</v>
      </c>
      <c r="G21">
        <v>1997</v>
      </c>
    </row>
    <row r="22" spans="1:7" hidden="1" outlineLevel="2" x14ac:dyDescent="0.25">
      <c r="A22" t="s">
        <v>30</v>
      </c>
      <c r="B22" t="s">
        <v>8</v>
      </c>
      <c r="C22" t="s">
        <v>14</v>
      </c>
      <c r="D22">
        <v>3</v>
      </c>
      <c r="E22" s="2">
        <v>65</v>
      </c>
      <c r="F22" t="s">
        <v>33</v>
      </c>
      <c r="G22">
        <v>2000</v>
      </c>
    </row>
    <row r="23" spans="1:7" outlineLevel="1" collapsed="1" x14ac:dyDescent="0.25">
      <c r="B23" s="8" t="s">
        <v>48</v>
      </c>
      <c r="D23">
        <f>SUBTOTAL(9,D21:D22)</f>
        <v>7</v>
      </c>
      <c r="E23" s="2"/>
    </row>
    <row r="24" spans="1:7" hidden="1" outlineLevel="2" x14ac:dyDescent="0.25">
      <c r="A24" t="s">
        <v>24</v>
      </c>
      <c r="B24" t="s">
        <v>12</v>
      </c>
      <c r="C24" t="s">
        <v>16</v>
      </c>
      <c r="D24">
        <v>1</v>
      </c>
      <c r="E24" s="2">
        <v>150</v>
      </c>
      <c r="F24" t="s">
        <v>31</v>
      </c>
      <c r="G24">
        <v>2000</v>
      </c>
    </row>
    <row r="25" spans="1:7" hidden="1" outlineLevel="2" x14ac:dyDescent="0.25">
      <c r="A25" t="s">
        <v>26</v>
      </c>
      <c r="B25" t="s">
        <v>12</v>
      </c>
      <c r="C25" t="s">
        <v>14</v>
      </c>
      <c r="D25">
        <v>3</v>
      </c>
      <c r="E25" s="2">
        <v>15</v>
      </c>
      <c r="F25" t="s">
        <v>33</v>
      </c>
      <c r="G25">
        <v>2000</v>
      </c>
    </row>
    <row r="26" spans="1:7" outlineLevel="1" collapsed="1" x14ac:dyDescent="0.25">
      <c r="B26" s="8" t="s">
        <v>52</v>
      </c>
      <c r="D26">
        <f>SUBTOTAL(9,D24:D25)</f>
        <v>4</v>
      </c>
      <c r="E26" s="2"/>
    </row>
    <row r="27" spans="1:7" x14ac:dyDescent="0.25">
      <c r="B27" s="8" t="s">
        <v>35</v>
      </c>
      <c r="D27">
        <f>SUBTOTAL(9,D2:D25)</f>
        <v>54</v>
      </c>
      <c r="E27" s="2"/>
    </row>
  </sheetData>
  <sortState ref="A2:G19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sqref="A1:G24"/>
    </sheetView>
  </sheetViews>
  <sheetFormatPr defaultRowHeight="15" outlineLevelRow="2" x14ac:dyDescent="0.25"/>
  <cols>
    <col min="1" max="1" width="25.28515625" customWidth="1"/>
    <col min="3" max="3" width="21.5703125" customWidth="1"/>
    <col min="7" max="7" width="13.570312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outlineLevel="2" x14ac:dyDescent="0.25">
      <c r="A2" t="s">
        <v>21</v>
      </c>
      <c r="B2" t="s">
        <v>9</v>
      </c>
      <c r="C2" t="s">
        <v>17</v>
      </c>
      <c r="D2">
        <v>4</v>
      </c>
      <c r="E2" s="2">
        <v>90</v>
      </c>
      <c r="F2" t="s">
        <v>32</v>
      </c>
      <c r="G2">
        <v>2001</v>
      </c>
    </row>
    <row r="3" spans="1:7" hidden="1" outlineLevel="2" x14ac:dyDescent="0.25">
      <c r="A3" t="s">
        <v>28</v>
      </c>
      <c r="B3" t="s">
        <v>9</v>
      </c>
      <c r="C3" t="s">
        <v>17</v>
      </c>
      <c r="D3">
        <v>2</v>
      </c>
      <c r="E3" s="2">
        <v>120</v>
      </c>
      <c r="F3" t="s">
        <v>32</v>
      </c>
      <c r="G3">
        <v>2001</v>
      </c>
    </row>
    <row r="4" spans="1:7" hidden="1" outlineLevel="2" x14ac:dyDescent="0.25">
      <c r="A4" t="s">
        <v>19</v>
      </c>
      <c r="B4" t="s">
        <v>7</v>
      </c>
      <c r="C4" t="s">
        <v>17</v>
      </c>
      <c r="D4">
        <v>1</v>
      </c>
      <c r="E4" s="2">
        <v>250</v>
      </c>
      <c r="F4" t="s">
        <v>31</v>
      </c>
      <c r="G4">
        <v>2000</v>
      </c>
    </row>
    <row r="5" spans="1:7" outlineLevel="1" collapsed="1" x14ac:dyDescent="0.25">
      <c r="C5" s="8" t="s">
        <v>54</v>
      </c>
      <c r="D5">
        <f>SUBTOTAL(9,D2:D4)</f>
        <v>7</v>
      </c>
      <c r="E5" s="2"/>
    </row>
    <row r="6" spans="1:7" hidden="1" outlineLevel="2" x14ac:dyDescent="0.25">
      <c r="A6" t="s">
        <v>19</v>
      </c>
      <c r="B6" t="s">
        <v>7</v>
      </c>
      <c r="C6" t="s">
        <v>15</v>
      </c>
      <c r="D6">
        <v>4</v>
      </c>
      <c r="E6" s="2">
        <v>200</v>
      </c>
      <c r="F6" t="s">
        <v>32</v>
      </c>
      <c r="G6">
        <v>2000</v>
      </c>
    </row>
    <row r="7" spans="1:7" hidden="1" outlineLevel="2" x14ac:dyDescent="0.25">
      <c r="A7" t="s">
        <v>25</v>
      </c>
      <c r="B7" t="s">
        <v>13</v>
      </c>
      <c r="C7" t="s">
        <v>15</v>
      </c>
      <c r="D7">
        <v>5</v>
      </c>
      <c r="E7" s="2">
        <v>80</v>
      </c>
      <c r="F7" t="s">
        <v>32</v>
      </c>
      <c r="G7">
        <v>2000</v>
      </c>
    </row>
    <row r="8" spans="1:7" outlineLevel="1" collapsed="1" x14ac:dyDescent="0.25">
      <c r="C8" s="8" t="s">
        <v>55</v>
      </c>
      <c r="D8">
        <f>SUBTOTAL(9,D6:D7)</f>
        <v>9</v>
      </c>
      <c r="E8" s="2"/>
    </row>
    <row r="9" spans="1:7" hidden="1" outlineLevel="2" x14ac:dyDescent="0.25">
      <c r="A9" t="s">
        <v>18</v>
      </c>
      <c r="B9" t="s">
        <v>7</v>
      </c>
      <c r="C9" t="s">
        <v>14</v>
      </c>
      <c r="D9">
        <v>2</v>
      </c>
      <c r="E9" s="2">
        <v>200</v>
      </c>
      <c r="F9" t="s">
        <v>31</v>
      </c>
      <c r="G9">
        <v>1998</v>
      </c>
    </row>
    <row r="10" spans="1:7" hidden="1" outlineLevel="2" x14ac:dyDescent="0.25">
      <c r="A10" t="s">
        <v>22</v>
      </c>
      <c r="B10" t="s">
        <v>10</v>
      </c>
      <c r="C10" t="s">
        <v>14</v>
      </c>
      <c r="D10">
        <v>5</v>
      </c>
      <c r="E10" s="2">
        <v>100</v>
      </c>
      <c r="F10" t="s">
        <v>32</v>
      </c>
      <c r="G10">
        <v>1997</v>
      </c>
    </row>
    <row r="11" spans="1:7" hidden="1" outlineLevel="2" x14ac:dyDescent="0.25">
      <c r="A11" t="s">
        <v>23</v>
      </c>
      <c r="B11" t="s">
        <v>11</v>
      </c>
      <c r="C11" t="s">
        <v>14</v>
      </c>
      <c r="D11">
        <v>7</v>
      </c>
      <c r="E11" s="2">
        <v>50</v>
      </c>
      <c r="F11" t="s">
        <v>33</v>
      </c>
      <c r="G11">
        <v>2001</v>
      </c>
    </row>
    <row r="12" spans="1:7" hidden="1" outlineLevel="2" x14ac:dyDescent="0.25">
      <c r="A12" t="s">
        <v>19</v>
      </c>
      <c r="B12" t="s">
        <v>7</v>
      </c>
      <c r="C12" t="s">
        <v>14</v>
      </c>
      <c r="D12">
        <v>1</v>
      </c>
      <c r="E12" s="2">
        <v>220</v>
      </c>
      <c r="F12" t="s">
        <v>32</v>
      </c>
      <c r="G12">
        <v>2000</v>
      </c>
    </row>
    <row r="13" spans="1:7" hidden="1" outlineLevel="2" x14ac:dyDescent="0.25">
      <c r="A13" t="s">
        <v>21</v>
      </c>
      <c r="B13" t="s">
        <v>9</v>
      </c>
      <c r="C13" t="s">
        <v>14</v>
      </c>
      <c r="D13">
        <v>4</v>
      </c>
      <c r="E13" s="2">
        <v>70</v>
      </c>
      <c r="F13" t="s">
        <v>33</v>
      </c>
      <c r="G13">
        <v>2000</v>
      </c>
    </row>
    <row r="14" spans="1:7" hidden="1" outlineLevel="2" x14ac:dyDescent="0.25">
      <c r="A14" t="s">
        <v>26</v>
      </c>
      <c r="B14" t="s">
        <v>12</v>
      </c>
      <c r="C14" t="s">
        <v>14</v>
      </c>
      <c r="D14">
        <v>3</v>
      </c>
      <c r="E14" s="2">
        <v>15</v>
      </c>
      <c r="F14" t="s">
        <v>33</v>
      </c>
      <c r="G14">
        <v>2000</v>
      </c>
    </row>
    <row r="15" spans="1:7" hidden="1" outlineLevel="2" x14ac:dyDescent="0.25">
      <c r="A15" t="s">
        <v>30</v>
      </c>
      <c r="B15" t="s">
        <v>8</v>
      </c>
      <c r="C15" t="s">
        <v>14</v>
      </c>
      <c r="D15">
        <v>3</v>
      </c>
      <c r="E15" s="2">
        <v>65</v>
      </c>
      <c r="F15" t="s">
        <v>33</v>
      </c>
      <c r="G15">
        <v>2000</v>
      </c>
    </row>
    <row r="16" spans="1:7" outlineLevel="1" collapsed="1" x14ac:dyDescent="0.25">
      <c r="C16" s="8" t="s">
        <v>56</v>
      </c>
      <c r="D16">
        <f>SUBTOTAL(9,D9:D15)</f>
        <v>25</v>
      </c>
      <c r="E16" s="2"/>
    </row>
    <row r="17" spans="1:7" hidden="1" outlineLevel="2" x14ac:dyDescent="0.25">
      <c r="A17" t="s">
        <v>20</v>
      </c>
      <c r="B17" t="s">
        <v>8</v>
      </c>
      <c r="C17" t="s">
        <v>16</v>
      </c>
      <c r="D17">
        <v>4</v>
      </c>
      <c r="E17" s="2">
        <v>100</v>
      </c>
      <c r="F17" t="s">
        <v>32</v>
      </c>
      <c r="G17">
        <v>1997</v>
      </c>
    </row>
    <row r="18" spans="1:7" hidden="1" outlineLevel="2" x14ac:dyDescent="0.25">
      <c r="A18" t="s">
        <v>21</v>
      </c>
      <c r="B18" t="s">
        <v>9</v>
      </c>
      <c r="C18" t="s">
        <v>16</v>
      </c>
      <c r="D18">
        <v>2</v>
      </c>
      <c r="E18" s="2">
        <v>95</v>
      </c>
      <c r="F18" t="s">
        <v>32</v>
      </c>
      <c r="G18">
        <v>2000</v>
      </c>
    </row>
    <row r="19" spans="1:7" hidden="1" outlineLevel="2" x14ac:dyDescent="0.25">
      <c r="A19" t="s">
        <v>24</v>
      </c>
      <c r="B19" t="s">
        <v>12</v>
      </c>
      <c r="C19" t="s">
        <v>16</v>
      </c>
      <c r="D19">
        <v>1</v>
      </c>
      <c r="E19" s="2">
        <v>150</v>
      </c>
      <c r="F19" t="s">
        <v>31</v>
      </c>
      <c r="G19">
        <v>2000</v>
      </c>
    </row>
    <row r="20" spans="1:7" hidden="1" outlineLevel="2" x14ac:dyDescent="0.25">
      <c r="A20" t="s">
        <v>27</v>
      </c>
      <c r="B20" t="s">
        <v>10</v>
      </c>
      <c r="C20" t="s">
        <v>16</v>
      </c>
      <c r="D20">
        <v>1</v>
      </c>
      <c r="E20" s="2">
        <v>80</v>
      </c>
      <c r="F20" t="s">
        <v>33</v>
      </c>
      <c r="G20">
        <v>1998</v>
      </c>
    </row>
    <row r="21" spans="1:7" hidden="1" outlineLevel="2" x14ac:dyDescent="0.25">
      <c r="A21" t="s">
        <v>29</v>
      </c>
      <c r="B21" t="s">
        <v>7</v>
      </c>
      <c r="C21" t="s">
        <v>16</v>
      </c>
      <c r="D21">
        <v>3</v>
      </c>
      <c r="E21" s="2">
        <v>50</v>
      </c>
      <c r="F21" t="s">
        <v>33</v>
      </c>
      <c r="G21">
        <v>1998</v>
      </c>
    </row>
    <row r="22" spans="1:7" hidden="1" outlineLevel="2" x14ac:dyDescent="0.25">
      <c r="A22" t="s">
        <v>19</v>
      </c>
      <c r="B22" t="s">
        <v>7</v>
      </c>
      <c r="C22" t="s">
        <v>16</v>
      </c>
      <c r="D22">
        <v>2</v>
      </c>
      <c r="E22" s="2">
        <v>250</v>
      </c>
      <c r="F22" t="s">
        <v>32</v>
      </c>
      <c r="G22">
        <v>2001</v>
      </c>
    </row>
    <row r="23" spans="1:7" outlineLevel="1" collapsed="1" x14ac:dyDescent="0.25">
      <c r="C23" s="8" t="s">
        <v>57</v>
      </c>
      <c r="D23">
        <f>SUBTOTAL(9,D17:D22)</f>
        <v>13</v>
      </c>
      <c r="E23" s="2"/>
    </row>
    <row r="24" spans="1:7" x14ac:dyDescent="0.25">
      <c r="C24" s="8" t="s">
        <v>35</v>
      </c>
      <c r="D24">
        <f>SUBTOTAL(9,D2:D22)</f>
        <v>54</v>
      </c>
      <c r="E24" s="2"/>
    </row>
  </sheetData>
  <sortState ref="A2:G19">
    <sortCondition ref="C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E30" sqref="E30"/>
    </sheetView>
  </sheetViews>
  <sheetFormatPr defaultRowHeight="15" outlineLevelRow="2" x14ac:dyDescent="0.25"/>
  <cols>
    <col min="1" max="1" width="24" customWidth="1"/>
    <col min="2" max="2" width="23.140625" customWidth="1"/>
    <col min="3" max="3" width="13.42578125" customWidth="1"/>
    <col min="4" max="4" width="12.85546875" customWidth="1"/>
    <col min="5" max="5" width="13.5703125" customWidth="1"/>
    <col min="6" max="6" width="14" customWidth="1"/>
    <col min="7" max="7" width="13.2851562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outlineLevel="2" x14ac:dyDescent="0.25">
      <c r="A2" t="s">
        <v>21</v>
      </c>
      <c r="B2" t="s">
        <v>9</v>
      </c>
      <c r="C2" t="s">
        <v>17</v>
      </c>
      <c r="D2">
        <v>4</v>
      </c>
      <c r="E2" s="2">
        <v>90</v>
      </c>
      <c r="F2" t="s">
        <v>32</v>
      </c>
      <c r="G2">
        <v>2001</v>
      </c>
    </row>
    <row r="3" spans="1:7" hidden="1" outlineLevel="2" x14ac:dyDescent="0.25">
      <c r="A3" t="s">
        <v>28</v>
      </c>
      <c r="B3" t="s">
        <v>9</v>
      </c>
      <c r="C3" t="s">
        <v>17</v>
      </c>
      <c r="D3">
        <v>2</v>
      </c>
      <c r="E3" s="2">
        <v>120</v>
      </c>
      <c r="F3" t="s">
        <v>32</v>
      </c>
      <c r="G3">
        <v>2001</v>
      </c>
    </row>
    <row r="4" spans="1:7" hidden="1" outlineLevel="2" x14ac:dyDescent="0.25">
      <c r="A4" t="s">
        <v>21</v>
      </c>
      <c r="B4" t="s">
        <v>9</v>
      </c>
      <c r="C4" t="s">
        <v>14</v>
      </c>
      <c r="D4">
        <v>4</v>
      </c>
      <c r="E4" s="2">
        <v>70</v>
      </c>
      <c r="F4" t="s">
        <v>33</v>
      </c>
      <c r="G4">
        <v>2000</v>
      </c>
    </row>
    <row r="5" spans="1:7" hidden="1" outlineLevel="2" x14ac:dyDescent="0.25">
      <c r="A5" t="s">
        <v>21</v>
      </c>
      <c r="B5" t="s">
        <v>9</v>
      </c>
      <c r="C5" t="s">
        <v>16</v>
      </c>
      <c r="D5">
        <v>2</v>
      </c>
      <c r="E5" s="2">
        <v>95</v>
      </c>
      <c r="F5" t="s">
        <v>32</v>
      </c>
      <c r="G5">
        <v>2000</v>
      </c>
    </row>
    <row r="6" spans="1:7" outlineLevel="1" collapsed="1" x14ac:dyDescent="0.25">
      <c r="B6" s="8" t="s">
        <v>42</v>
      </c>
      <c r="C6">
        <f>SUBTOTAL(3,C2:C5)</f>
        <v>4</v>
      </c>
      <c r="E6" s="2"/>
    </row>
    <row r="7" spans="1:7" hidden="1" outlineLevel="2" x14ac:dyDescent="0.25">
      <c r="A7" t="s">
        <v>25</v>
      </c>
      <c r="B7" t="s">
        <v>13</v>
      </c>
      <c r="C7" t="s">
        <v>15</v>
      </c>
      <c r="D7">
        <v>5</v>
      </c>
      <c r="E7" s="2">
        <v>80</v>
      </c>
      <c r="F7" t="s">
        <v>32</v>
      </c>
      <c r="G7">
        <v>2000</v>
      </c>
    </row>
    <row r="8" spans="1:7" outlineLevel="1" collapsed="1" x14ac:dyDescent="0.25">
      <c r="B8" s="8" t="s">
        <v>46</v>
      </c>
      <c r="C8">
        <f>SUBTOTAL(3,C7:C7)</f>
        <v>1</v>
      </c>
      <c r="E8" s="2"/>
    </row>
    <row r="9" spans="1:7" hidden="1" outlineLevel="2" x14ac:dyDescent="0.25">
      <c r="A9" t="s">
        <v>22</v>
      </c>
      <c r="B9" t="s">
        <v>10</v>
      </c>
      <c r="C9" t="s">
        <v>14</v>
      </c>
      <c r="D9">
        <v>5</v>
      </c>
      <c r="E9" s="2">
        <v>100</v>
      </c>
      <c r="F9" t="s">
        <v>32</v>
      </c>
      <c r="G9">
        <v>1997</v>
      </c>
    </row>
    <row r="10" spans="1:7" hidden="1" outlineLevel="2" x14ac:dyDescent="0.25">
      <c r="A10" t="s">
        <v>27</v>
      </c>
      <c r="B10" t="s">
        <v>10</v>
      </c>
      <c r="C10" t="s">
        <v>16</v>
      </c>
      <c r="D10">
        <v>1</v>
      </c>
      <c r="E10" s="2">
        <v>80</v>
      </c>
      <c r="F10" t="s">
        <v>33</v>
      </c>
      <c r="G10">
        <v>1998</v>
      </c>
    </row>
    <row r="11" spans="1:7" outlineLevel="1" collapsed="1" x14ac:dyDescent="0.25">
      <c r="B11" s="8" t="s">
        <v>43</v>
      </c>
      <c r="C11">
        <f>SUBTOTAL(3,C9:C10)</f>
        <v>2</v>
      </c>
      <c r="E11" s="2"/>
    </row>
    <row r="12" spans="1:7" hidden="1" outlineLevel="2" x14ac:dyDescent="0.25">
      <c r="A12" t="s">
        <v>23</v>
      </c>
      <c r="B12" t="s">
        <v>11</v>
      </c>
      <c r="C12" t="s">
        <v>14</v>
      </c>
      <c r="D12">
        <v>7</v>
      </c>
      <c r="E12" s="2">
        <v>50</v>
      </c>
      <c r="F12" t="s">
        <v>33</v>
      </c>
      <c r="G12">
        <v>2001</v>
      </c>
    </row>
    <row r="13" spans="1:7" outlineLevel="1" collapsed="1" x14ac:dyDescent="0.25">
      <c r="B13" s="8" t="s">
        <v>44</v>
      </c>
      <c r="C13">
        <f>SUBTOTAL(3,C12:C12)</f>
        <v>1</v>
      </c>
      <c r="E13" s="2"/>
    </row>
    <row r="14" spans="1:7" hidden="1" outlineLevel="2" x14ac:dyDescent="0.25">
      <c r="A14" t="s">
        <v>19</v>
      </c>
      <c r="B14" t="s">
        <v>7</v>
      </c>
      <c r="C14" t="s">
        <v>17</v>
      </c>
      <c r="D14">
        <v>1</v>
      </c>
      <c r="E14" s="2">
        <v>250</v>
      </c>
      <c r="F14" t="s">
        <v>31</v>
      </c>
      <c r="G14">
        <v>2000</v>
      </c>
    </row>
    <row r="15" spans="1:7" hidden="1" outlineLevel="2" x14ac:dyDescent="0.25">
      <c r="A15" t="s">
        <v>19</v>
      </c>
      <c r="B15" t="s">
        <v>7</v>
      </c>
      <c r="C15" t="s">
        <v>15</v>
      </c>
      <c r="D15">
        <v>4</v>
      </c>
      <c r="E15" s="2">
        <v>200</v>
      </c>
      <c r="F15" t="s">
        <v>32</v>
      </c>
      <c r="G15">
        <v>2000</v>
      </c>
    </row>
    <row r="16" spans="1:7" hidden="1" outlineLevel="2" x14ac:dyDescent="0.25">
      <c r="A16" t="s">
        <v>18</v>
      </c>
      <c r="B16" t="s">
        <v>7</v>
      </c>
      <c r="C16" t="s">
        <v>14</v>
      </c>
      <c r="D16">
        <v>2</v>
      </c>
      <c r="E16" s="2">
        <v>200</v>
      </c>
      <c r="F16" t="s">
        <v>31</v>
      </c>
      <c r="G16">
        <v>1998</v>
      </c>
    </row>
    <row r="17" spans="1:7" hidden="1" outlineLevel="2" x14ac:dyDescent="0.25">
      <c r="A17" t="s">
        <v>19</v>
      </c>
      <c r="B17" t="s">
        <v>7</v>
      </c>
      <c r="C17" t="s">
        <v>14</v>
      </c>
      <c r="D17">
        <v>1</v>
      </c>
      <c r="E17" s="2">
        <v>220</v>
      </c>
      <c r="F17" t="s">
        <v>32</v>
      </c>
      <c r="G17">
        <v>2000</v>
      </c>
    </row>
    <row r="18" spans="1:7" hidden="1" outlineLevel="2" x14ac:dyDescent="0.25">
      <c r="A18" t="s">
        <v>29</v>
      </c>
      <c r="B18" t="s">
        <v>7</v>
      </c>
      <c r="C18" t="s">
        <v>16</v>
      </c>
      <c r="D18">
        <v>3</v>
      </c>
      <c r="E18" s="2">
        <v>50</v>
      </c>
      <c r="F18" t="s">
        <v>33</v>
      </c>
      <c r="G18">
        <v>1998</v>
      </c>
    </row>
    <row r="19" spans="1:7" hidden="1" outlineLevel="2" x14ac:dyDescent="0.25">
      <c r="A19" t="s">
        <v>19</v>
      </c>
      <c r="B19" t="s">
        <v>7</v>
      </c>
      <c r="C19" t="s">
        <v>16</v>
      </c>
      <c r="D19">
        <v>2</v>
      </c>
      <c r="E19" s="2">
        <v>250</v>
      </c>
      <c r="F19" t="s">
        <v>32</v>
      </c>
      <c r="G19">
        <v>2001</v>
      </c>
    </row>
    <row r="20" spans="1:7" outlineLevel="1" collapsed="1" x14ac:dyDescent="0.25">
      <c r="B20" s="8" t="s">
        <v>40</v>
      </c>
      <c r="C20">
        <f>SUBTOTAL(3,C14:C19)</f>
        <v>6</v>
      </c>
      <c r="E20" s="2"/>
    </row>
    <row r="21" spans="1:7" hidden="1" outlineLevel="2" x14ac:dyDescent="0.25">
      <c r="A21" t="s">
        <v>30</v>
      </c>
      <c r="B21" t="s">
        <v>8</v>
      </c>
      <c r="C21" t="s">
        <v>14</v>
      </c>
      <c r="D21">
        <v>3</v>
      </c>
      <c r="E21" s="2">
        <v>65</v>
      </c>
      <c r="F21" t="s">
        <v>33</v>
      </c>
      <c r="G21">
        <v>2000</v>
      </c>
    </row>
    <row r="22" spans="1:7" hidden="1" outlineLevel="2" x14ac:dyDescent="0.25">
      <c r="A22" t="s">
        <v>20</v>
      </c>
      <c r="B22" t="s">
        <v>8</v>
      </c>
      <c r="C22" t="s">
        <v>16</v>
      </c>
      <c r="D22">
        <v>4</v>
      </c>
      <c r="E22" s="2">
        <v>100</v>
      </c>
      <c r="F22" t="s">
        <v>32</v>
      </c>
      <c r="G22">
        <v>1997</v>
      </c>
    </row>
    <row r="23" spans="1:7" outlineLevel="1" collapsed="1" x14ac:dyDescent="0.25">
      <c r="B23" s="8" t="s">
        <v>41</v>
      </c>
      <c r="C23">
        <f>SUBTOTAL(3,C21:C22)</f>
        <v>2</v>
      </c>
      <c r="E23" s="2"/>
    </row>
    <row r="24" spans="1:7" hidden="1" outlineLevel="2" x14ac:dyDescent="0.25">
      <c r="A24" t="s">
        <v>26</v>
      </c>
      <c r="B24" t="s">
        <v>12</v>
      </c>
      <c r="C24" t="s">
        <v>14</v>
      </c>
      <c r="D24">
        <v>3</v>
      </c>
      <c r="E24" s="2">
        <v>15</v>
      </c>
      <c r="F24" t="s">
        <v>33</v>
      </c>
      <c r="G24">
        <v>2000</v>
      </c>
    </row>
    <row r="25" spans="1:7" hidden="1" outlineLevel="2" x14ac:dyDescent="0.25">
      <c r="A25" t="s">
        <v>24</v>
      </c>
      <c r="B25" t="s">
        <v>12</v>
      </c>
      <c r="C25" t="s">
        <v>16</v>
      </c>
      <c r="D25">
        <v>1</v>
      </c>
      <c r="E25" s="2">
        <v>150</v>
      </c>
      <c r="F25" t="s">
        <v>31</v>
      </c>
      <c r="G25">
        <v>2000</v>
      </c>
    </row>
    <row r="26" spans="1:7" outlineLevel="1" collapsed="1" x14ac:dyDescent="0.25">
      <c r="B26" s="8" t="s">
        <v>45</v>
      </c>
      <c r="C26">
        <f>SUBTOTAL(3,C24:C25)</f>
        <v>2</v>
      </c>
      <c r="E26" s="2"/>
    </row>
    <row r="27" spans="1:7" x14ac:dyDescent="0.25">
      <c r="B27" s="8" t="s">
        <v>39</v>
      </c>
      <c r="C27">
        <f>SUBTOTAL(3,C2:C25)</f>
        <v>18</v>
      </c>
      <c r="E27" s="2"/>
    </row>
  </sheetData>
  <sortState ref="A2:G19">
    <sortCondition ref="B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sqref="A1:G24"/>
    </sheetView>
  </sheetViews>
  <sheetFormatPr defaultRowHeight="15" outlineLevelRow="2" x14ac:dyDescent="0.25"/>
  <cols>
    <col min="1" max="1" width="29" customWidth="1"/>
    <col min="2" max="2" width="14.5703125" customWidth="1"/>
    <col min="3" max="3" width="14.85546875" customWidth="1"/>
    <col min="4" max="4" width="15.140625" customWidth="1"/>
    <col min="6" max="6" width="14.28515625" customWidth="1"/>
    <col min="7" max="7" width="16.8554687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outlineLevel="2" x14ac:dyDescent="0.25">
      <c r="A2" t="s">
        <v>20</v>
      </c>
      <c r="B2" t="s">
        <v>8</v>
      </c>
      <c r="C2" t="s">
        <v>16</v>
      </c>
      <c r="D2">
        <v>4</v>
      </c>
      <c r="E2" s="2">
        <v>100</v>
      </c>
      <c r="F2" t="s">
        <v>32</v>
      </c>
      <c r="G2">
        <v>1997</v>
      </c>
    </row>
    <row r="3" spans="1:7" hidden="1" outlineLevel="2" x14ac:dyDescent="0.25">
      <c r="A3" t="s">
        <v>22</v>
      </c>
      <c r="B3" t="s">
        <v>10</v>
      </c>
      <c r="C3" t="s">
        <v>14</v>
      </c>
      <c r="D3">
        <v>5</v>
      </c>
      <c r="E3" s="2">
        <v>100</v>
      </c>
      <c r="F3" t="s">
        <v>32</v>
      </c>
      <c r="G3">
        <v>1997</v>
      </c>
    </row>
    <row r="4" spans="1:7" outlineLevel="1" collapsed="1" x14ac:dyDescent="0.25">
      <c r="D4">
        <f>SUBTOTAL(9,D2:D3)</f>
        <v>9</v>
      </c>
      <c r="E4" s="2"/>
      <c r="G4" s="8" t="s">
        <v>62</v>
      </c>
    </row>
    <row r="5" spans="1:7" hidden="1" outlineLevel="2" x14ac:dyDescent="0.25">
      <c r="A5" t="s">
        <v>18</v>
      </c>
      <c r="B5" t="s">
        <v>7</v>
      </c>
      <c r="C5" t="s">
        <v>14</v>
      </c>
      <c r="D5">
        <v>2</v>
      </c>
      <c r="E5" s="2">
        <v>200</v>
      </c>
      <c r="F5" t="s">
        <v>31</v>
      </c>
      <c r="G5">
        <v>1998</v>
      </c>
    </row>
    <row r="6" spans="1:7" hidden="1" outlineLevel="2" x14ac:dyDescent="0.25">
      <c r="A6" t="s">
        <v>27</v>
      </c>
      <c r="B6" t="s">
        <v>10</v>
      </c>
      <c r="C6" t="s">
        <v>16</v>
      </c>
      <c r="D6">
        <v>1</v>
      </c>
      <c r="E6" s="2">
        <v>80</v>
      </c>
      <c r="F6" t="s">
        <v>33</v>
      </c>
      <c r="G6">
        <v>1998</v>
      </c>
    </row>
    <row r="7" spans="1:7" hidden="1" outlineLevel="2" x14ac:dyDescent="0.25">
      <c r="A7" t="s">
        <v>29</v>
      </c>
      <c r="B7" t="s">
        <v>7</v>
      </c>
      <c r="C7" t="s">
        <v>16</v>
      </c>
      <c r="D7">
        <v>3</v>
      </c>
      <c r="E7" s="2">
        <v>50</v>
      </c>
      <c r="F7" t="s">
        <v>33</v>
      </c>
      <c r="G7">
        <v>1998</v>
      </c>
    </row>
    <row r="8" spans="1:7" outlineLevel="1" collapsed="1" x14ac:dyDescent="0.25">
      <c r="D8">
        <f>SUBTOTAL(9,D5:D7)</f>
        <v>6</v>
      </c>
      <c r="E8" s="2"/>
      <c r="G8" s="8" t="s">
        <v>63</v>
      </c>
    </row>
    <row r="9" spans="1:7" hidden="1" outlineLevel="2" x14ac:dyDescent="0.25">
      <c r="A9" t="s">
        <v>19</v>
      </c>
      <c r="B9" t="s">
        <v>7</v>
      </c>
      <c r="C9" t="s">
        <v>15</v>
      </c>
      <c r="D9">
        <v>4</v>
      </c>
      <c r="E9" s="2">
        <v>200</v>
      </c>
      <c r="F9" t="s">
        <v>32</v>
      </c>
      <c r="G9">
        <v>2000</v>
      </c>
    </row>
    <row r="10" spans="1:7" hidden="1" outlineLevel="2" x14ac:dyDescent="0.25">
      <c r="A10" t="s">
        <v>21</v>
      </c>
      <c r="B10" t="s">
        <v>9</v>
      </c>
      <c r="C10" t="s">
        <v>16</v>
      </c>
      <c r="D10">
        <v>2</v>
      </c>
      <c r="E10" s="2">
        <v>95</v>
      </c>
      <c r="F10" t="s">
        <v>32</v>
      </c>
      <c r="G10">
        <v>2000</v>
      </c>
    </row>
    <row r="11" spans="1:7" hidden="1" outlineLevel="2" x14ac:dyDescent="0.25">
      <c r="A11" t="s">
        <v>24</v>
      </c>
      <c r="B11" t="s">
        <v>12</v>
      </c>
      <c r="C11" t="s">
        <v>16</v>
      </c>
      <c r="D11">
        <v>1</v>
      </c>
      <c r="E11" s="2">
        <v>150</v>
      </c>
      <c r="F11" t="s">
        <v>31</v>
      </c>
      <c r="G11">
        <v>2000</v>
      </c>
    </row>
    <row r="12" spans="1:7" hidden="1" outlineLevel="2" x14ac:dyDescent="0.25">
      <c r="A12" t="s">
        <v>19</v>
      </c>
      <c r="B12" t="s">
        <v>7</v>
      </c>
      <c r="C12" t="s">
        <v>14</v>
      </c>
      <c r="D12">
        <v>1</v>
      </c>
      <c r="E12" s="2">
        <v>220</v>
      </c>
      <c r="F12" t="s">
        <v>32</v>
      </c>
      <c r="G12">
        <v>2000</v>
      </c>
    </row>
    <row r="13" spans="1:7" hidden="1" outlineLevel="2" x14ac:dyDescent="0.25">
      <c r="A13" t="s">
        <v>21</v>
      </c>
      <c r="B13" t="s">
        <v>9</v>
      </c>
      <c r="C13" t="s">
        <v>14</v>
      </c>
      <c r="D13">
        <v>4</v>
      </c>
      <c r="E13" s="2">
        <v>70</v>
      </c>
      <c r="F13" t="s">
        <v>33</v>
      </c>
      <c r="G13">
        <v>2000</v>
      </c>
    </row>
    <row r="14" spans="1:7" hidden="1" outlineLevel="2" x14ac:dyDescent="0.25">
      <c r="A14" t="s">
        <v>25</v>
      </c>
      <c r="B14" t="s">
        <v>13</v>
      </c>
      <c r="C14" t="s">
        <v>15</v>
      </c>
      <c r="D14">
        <v>5</v>
      </c>
      <c r="E14" s="2">
        <v>80</v>
      </c>
      <c r="F14" t="s">
        <v>32</v>
      </c>
      <c r="G14">
        <v>2000</v>
      </c>
    </row>
    <row r="15" spans="1:7" hidden="1" outlineLevel="2" x14ac:dyDescent="0.25">
      <c r="A15" t="s">
        <v>26</v>
      </c>
      <c r="B15" t="s">
        <v>12</v>
      </c>
      <c r="C15" t="s">
        <v>14</v>
      </c>
      <c r="D15">
        <v>3</v>
      </c>
      <c r="E15" s="2">
        <v>15</v>
      </c>
      <c r="F15" t="s">
        <v>33</v>
      </c>
      <c r="G15">
        <v>2000</v>
      </c>
    </row>
    <row r="16" spans="1:7" hidden="1" outlineLevel="2" x14ac:dyDescent="0.25">
      <c r="A16" t="s">
        <v>19</v>
      </c>
      <c r="B16" t="s">
        <v>7</v>
      </c>
      <c r="C16" t="s">
        <v>17</v>
      </c>
      <c r="D16">
        <v>1</v>
      </c>
      <c r="E16" s="2">
        <v>250</v>
      </c>
      <c r="F16" t="s">
        <v>31</v>
      </c>
      <c r="G16">
        <v>2000</v>
      </c>
    </row>
    <row r="17" spans="1:7" hidden="1" outlineLevel="2" x14ac:dyDescent="0.25">
      <c r="A17" t="s">
        <v>30</v>
      </c>
      <c r="B17" t="s">
        <v>8</v>
      </c>
      <c r="C17" t="s">
        <v>14</v>
      </c>
      <c r="D17">
        <v>3</v>
      </c>
      <c r="E17" s="2">
        <v>65</v>
      </c>
      <c r="F17" t="s">
        <v>33</v>
      </c>
      <c r="G17">
        <v>2000</v>
      </c>
    </row>
    <row r="18" spans="1:7" outlineLevel="1" collapsed="1" x14ac:dyDescent="0.25">
      <c r="D18">
        <f>SUBTOTAL(9,D9:D17)</f>
        <v>24</v>
      </c>
      <c r="E18" s="2"/>
      <c r="G18" s="8" t="s">
        <v>64</v>
      </c>
    </row>
    <row r="19" spans="1:7" hidden="1" outlineLevel="2" x14ac:dyDescent="0.25">
      <c r="A19" t="s">
        <v>23</v>
      </c>
      <c r="B19" t="s">
        <v>11</v>
      </c>
      <c r="C19" t="s">
        <v>14</v>
      </c>
      <c r="D19">
        <v>7</v>
      </c>
      <c r="E19" s="2">
        <v>50</v>
      </c>
      <c r="F19" t="s">
        <v>33</v>
      </c>
      <c r="G19">
        <v>2001</v>
      </c>
    </row>
    <row r="20" spans="1:7" hidden="1" outlineLevel="2" x14ac:dyDescent="0.25">
      <c r="A20" t="s">
        <v>21</v>
      </c>
      <c r="B20" t="s">
        <v>9</v>
      </c>
      <c r="C20" t="s">
        <v>17</v>
      </c>
      <c r="D20">
        <v>4</v>
      </c>
      <c r="E20" s="2">
        <v>90</v>
      </c>
      <c r="F20" t="s">
        <v>32</v>
      </c>
      <c r="G20">
        <v>2001</v>
      </c>
    </row>
    <row r="21" spans="1:7" hidden="1" outlineLevel="2" x14ac:dyDescent="0.25">
      <c r="A21" t="s">
        <v>28</v>
      </c>
      <c r="B21" t="s">
        <v>9</v>
      </c>
      <c r="C21" t="s">
        <v>17</v>
      </c>
      <c r="D21">
        <v>2</v>
      </c>
      <c r="E21" s="2">
        <v>120</v>
      </c>
      <c r="F21" t="s">
        <v>32</v>
      </c>
      <c r="G21">
        <v>2001</v>
      </c>
    </row>
    <row r="22" spans="1:7" hidden="1" outlineLevel="2" x14ac:dyDescent="0.25">
      <c r="A22" t="s">
        <v>19</v>
      </c>
      <c r="B22" t="s">
        <v>7</v>
      </c>
      <c r="C22" t="s">
        <v>16</v>
      </c>
      <c r="D22">
        <v>2</v>
      </c>
      <c r="E22" s="2">
        <v>250</v>
      </c>
      <c r="F22" t="s">
        <v>32</v>
      </c>
      <c r="G22">
        <v>2001</v>
      </c>
    </row>
    <row r="23" spans="1:7" outlineLevel="1" collapsed="1" x14ac:dyDescent="0.25">
      <c r="D23">
        <f>SUBTOTAL(9,D19:D22)</f>
        <v>15</v>
      </c>
      <c r="E23" s="2"/>
      <c r="G23" s="8" t="s">
        <v>65</v>
      </c>
    </row>
    <row r="24" spans="1:7" x14ac:dyDescent="0.25">
      <c r="D24">
        <f>SUBTOTAL(9,D2:D22)</f>
        <v>54</v>
      </c>
      <c r="E24" s="2"/>
      <c r="G24" s="8" t="s">
        <v>35</v>
      </c>
    </row>
  </sheetData>
  <sortState ref="A2:G19">
    <sortCondition ref="G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sqref="A1:G24"/>
    </sheetView>
  </sheetViews>
  <sheetFormatPr defaultRowHeight="15" outlineLevelRow="2" x14ac:dyDescent="0.25"/>
  <cols>
    <col min="1" max="1" width="31.85546875" customWidth="1"/>
    <col min="2" max="2" width="19.85546875" customWidth="1"/>
    <col min="3" max="3" width="16.140625" customWidth="1"/>
    <col min="6" max="6" width="16.42578125" customWidth="1"/>
    <col min="7" max="7" width="17.710937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outlineLevel="2" x14ac:dyDescent="0.25">
      <c r="A2" t="s">
        <v>20</v>
      </c>
      <c r="B2" t="s">
        <v>8</v>
      </c>
      <c r="C2" t="s">
        <v>16</v>
      </c>
      <c r="D2">
        <v>4</v>
      </c>
      <c r="E2" s="2">
        <v>100</v>
      </c>
      <c r="F2" t="s">
        <v>32</v>
      </c>
      <c r="G2">
        <v>1997</v>
      </c>
    </row>
    <row r="3" spans="1:7" hidden="1" outlineLevel="2" x14ac:dyDescent="0.25">
      <c r="A3" t="s">
        <v>22</v>
      </c>
      <c r="B3" t="s">
        <v>10</v>
      </c>
      <c r="C3" t="s">
        <v>14</v>
      </c>
      <c r="D3">
        <v>5</v>
      </c>
      <c r="E3" s="2">
        <v>100</v>
      </c>
      <c r="F3" t="s">
        <v>32</v>
      </c>
      <c r="G3">
        <v>1997</v>
      </c>
    </row>
    <row r="4" spans="1:7" outlineLevel="1" collapsed="1" x14ac:dyDescent="0.25">
      <c r="A4">
        <f>SUBTOTAL(3,A2:A3)</f>
        <v>2</v>
      </c>
      <c r="E4" s="2"/>
      <c r="G4" s="8" t="s">
        <v>58</v>
      </c>
    </row>
    <row r="5" spans="1:7" hidden="1" outlineLevel="2" x14ac:dyDescent="0.25">
      <c r="A5" t="s">
        <v>18</v>
      </c>
      <c r="B5" t="s">
        <v>7</v>
      </c>
      <c r="C5" t="s">
        <v>14</v>
      </c>
      <c r="D5">
        <v>2</v>
      </c>
      <c r="E5" s="2">
        <v>200</v>
      </c>
      <c r="F5" t="s">
        <v>31</v>
      </c>
      <c r="G5">
        <v>1998</v>
      </c>
    </row>
    <row r="6" spans="1:7" hidden="1" outlineLevel="2" x14ac:dyDescent="0.25">
      <c r="A6" t="s">
        <v>27</v>
      </c>
      <c r="B6" t="s">
        <v>10</v>
      </c>
      <c r="C6" t="s">
        <v>16</v>
      </c>
      <c r="D6">
        <v>1</v>
      </c>
      <c r="E6" s="2">
        <v>80</v>
      </c>
      <c r="F6" t="s">
        <v>33</v>
      </c>
      <c r="G6">
        <v>1998</v>
      </c>
    </row>
    <row r="7" spans="1:7" hidden="1" outlineLevel="2" x14ac:dyDescent="0.25">
      <c r="A7" t="s">
        <v>29</v>
      </c>
      <c r="B7" t="s">
        <v>7</v>
      </c>
      <c r="C7" t="s">
        <v>16</v>
      </c>
      <c r="D7">
        <v>3</v>
      </c>
      <c r="E7" s="2">
        <v>50</v>
      </c>
      <c r="F7" t="s">
        <v>33</v>
      </c>
      <c r="G7">
        <v>1998</v>
      </c>
    </row>
    <row r="8" spans="1:7" outlineLevel="1" collapsed="1" x14ac:dyDescent="0.25">
      <c r="A8">
        <f>SUBTOTAL(3,A5:A7)</f>
        <v>3</v>
      </c>
      <c r="E8" s="2"/>
      <c r="G8" s="8" t="s">
        <v>59</v>
      </c>
    </row>
    <row r="9" spans="1:7" hidden="1" outlineLevel="2" x14ac:dyDescent="0.25">
      <c r="A9" t="s">
        <v>19</v>
      </c>
      <c r="B9" t="s">
        <v>7</v>
      </c>
      <c r="C9" t="s">
        <v>15</v>
      </c>
      <c r="D9">
        <v>4</v>
      </c>
      <c r="E9" s="2">
        <v>200</v>
      </c>
      <c r="F9" t="s">
        <v>32</v>
      </c>
      <c r="G9">
        <v>2000</v>
      </c>
    </row>
    <row r="10" spans="1:7" hidden="1" outlineLevel="2" x14ac:dyDescent="0.25">
      <c r="A10" t="s">
        <v>21</v>
      </c>
      <c r="B10" t="s">
        <v>9</v>
      </c>
      <c r="C10" t="s">
        <v>16</v>
      </c>
      <c r="D10">
        <v>2</v>
      </c>
      <c r="E10" s="2">
        <v>95</v>
      </c>
      <c r="F10" t="s">
        <v>32</v>
      </c>
      <c r="G10">
        <v>2000</v>
      </c>
    </row>
    <row r="11" spans="1:7" hidden="1" outlineLevel="2" x14ac:dyDescent="0.25">
      <c r="A11" t="s">
        <v>24</v>
      </c>
      <c r="B11" t="s">
        <v>12</v>
      </c>
      <c r="C11" t="s">
        <v>16</v>
      </c>
      <c r="D11">
        <v>1</v>
      </c>
      <c r="E11" s="2">
        <v>150</v>
      </c>
      <c r="F11" t="s">
        <v>31</v>
      </c>
      <c r="G11">
        <v>2000</v>
      </c>
    </row>
    <row r="12" spans="1:7" hidden="1" outlineLevel="2" x14ac:dyDescent="0.25">
      <c r="A12" t="s">
        <v>19</v>
      </c>
      <c r="B12" t="s">
        <v>7</v>
      </c>
      <c r="C12" t="s">
        <v>14</v>
      </c>
      <c r="D12">
        <v>1</v>
      </c>
      <c r="E12" s="2">
        <v>220</v>
      </c>
      <c r="F12" t="s">
        <v>32</v>
      </c>
      <c r="G12">
        <v>2000</v>
      </c>
    </row>
    <row r="13" spans="1:7" hidden="1" outlineLevel="2" x14ac:dyDescent="0.25">
      <c r="A13" t="s">
        <v>21</v>
      </c>
      <c r="B13" t="s">
        <v>9</v>
      </c>
      <c r="C13" t="s">
        <v>14</v>
      </c>
      <c r="D13">
        <v>4</v>
      </c>
      <c r="E13" s="2">
        <v>70</v>
      </c>
      <c r="F13" t="s">
        <v>33</v>
      </c>
      <c r="G13">
        <v>2000</v>
      </c>
    </row>
    <row r="14" spans="1:7" hidden="1" outlineLevel="2" x14ac:dyDescent="0.25">
      <c r="A14" t="s">
        <v>25</v>
      </c>
      <c r="B14" t="s">
        <v>13</v>
      </c>
      <c r="C14" t="s">
        <v>15</v>
      </c>
      <c r="D14">
        <v>5</v>
      </c>
      <c r="E14" s="2">
        <v>80</v>
      </c>
      <c r="F14" t="s">
        <v>32</v>
      </c>
      <c r="G14">
        <v>2000</v>
      </c>
    </row>
    <row r="15" spans="1:7" hidden="1" outlineLevel="2" x14ac:dyDescent="0.25">
      <c r="A15" t="s">
        <v>26</v>
      </c>
      <c r="B15" t="s">
        <v>12</v>
      </c>
      <c r="C15" t="s">
        <v>14</v>
      </c>
      <c r="D15">
        <v>3</v>
      </c>
      <c r="E15" s="2">
        <v>15</v>
      </c>
      <c r="F15" t="s">
        <v>33</v>
      </c>
      <c r="G15">
        <v>2000</v>
      </c>
    </row>
    <row r="16" spans="1:7" hidden="1" outlineLevel="2" x14ac:dyDescent="0.25">
      <c r="A16" t="s">
        <v>19</v>
      </c>
      <c r="B16" t="s">
        <v>7</v>
      </c>
      <c r="C16" t="s">
        <v>17</v>
      </c>
      <c r="D16">
        <v>1</v>
      </c>
      <c r="E16" s="2">
        <v>250</v>
      </c>
      <c r="F16" t="s">
        <v>31</v>
      </c>
      <c r="G16">
        <v>2000</v>
      </c>
    </row>
    <row r="17" spans="1:7" hidden="1" outlineLevel="2" x14ac:dyDescent="0.25">
      <c r="A17" t="s">
        <v>30</v>
      </c>
      <c r="B17" t="s">
        <v>8</v>
      </c>
      <c r="C17" t="s">
        <v>14</v>
      </c>
      <c r="D17">
        <v>3</v>
      </c>
      <c r="E17" s="2">
        <v>65</v>
      </c>
      <c r="F17" t="s">
        <v>33</v>
      </c>
      <c r="G17">
        <v>2000</v>
      </c>
    </row>
    <row r="18" spans="1:7" outlineLevel="1" collapsed="1" x14ac:dyDescent="0.25">
      <c r="A18">
        <f>SUBTOTAL(3,A9:A17)</f>
        <v>9</v>
      </c>
      <c r="E18" s="2"/>
      <c r="G18" s="8" t="s">
        <v>60</v>
      </c>
    </row>
    <row r="19" spans="1:7" hidden="1" outlineLevel="2" x14ac:dyDescent="0.25">
      <c r="A19" t="s">
        <v>23</v>
      </c>
      <c r="B19" t="s">
        <v>11</v>
      </c>
      <c r="C19" t="s">
        <v>14</v>
      </c>
      <c r="D19">
        <v>7</v>
      </c>
      <c r="E19" s="2">
        <v>50</v>
      </c>
      <c r="F19" t="s">
        <v>33</v>
      </c>
      <c r="G19">
        <v>2001</v>
      </c>
    </row>
    <row r="20" spans="1:7" hidden="1" outlineLevel="2" x14ac:dyDescent="0.25">
      <c r="A20" t="s">
        <v>21</v>
      </c>
      <c r="B20" t="s">
        <v>9</v>
      </c>
      <c r="C20" t="s">
        <v>17</v>
      </c>
      <c r="D20">
        <v>4</v>
      </c>
      <c r="E20" s="2">
        <v>90</v>
      </c>
      <c r="F20" t="s">
        <v>32</v>
      </c>
      <c r="G20">
        <v>2001</v>
      </c>
    </row>
    <row r="21" spans="1:7" hidden="1" outlineLevel="2" x14ac:dyDescent="0.25">
      <c r="A21" t="s">
        <v>28</v>
      </c>
      <c r="B21" t="s">
        <v>9</v>
      </c>
      <c r="C21" t="s">
        <v>17</v>
      </c>
      <c r="D21">
        <v>2</v>
      </c>
      <c r="E21" s="2">
        <v>120</v>
      </c>
      <c r="F21" t="s">
        <v>32</v>
      </c>
      <c r="G21">
        <v>2001</v>
      </c>
    </row>
    <row r="22" spans="1:7" hidden="1" outlineLevel="2" x14ac:dyDescent="0.25">
      <c r="A22" t="s">
        <v>19</v>
      </c>
      <c r="B22" t="s">
        <v>7</v>
      </c>
      <c r="C22" t="s">
        <v>16</v>
      </c>
      <c r="D22">
        <v>2</v>
      </c>
      <c r="E22" s="2">
        <v>250</v>
      </c>
      <c r="F22" t="s">
        <v>32</v>
      </c>
      <c r="G22">
        <v>2001</v>
      </c>
    </row>
    <row r="23" spans="1:7" outlineLevel="1" collapsed="1" x14ac:dyDescent="0.25">
      <c r="A23">
        <f>SUBTOTAL(3,A19:A22)</f>
        <v>4</v>
      </c>
      <c r="E23" s="2"/>
      <c r="G23" s="8" t="s">
        <v>61</v>
      </c>
    </row>
    <row r="24" spans="1:7" x14ac:dyDescent="0.25">
      <c r="A24">
        <f>SUBTOTAL(3,A2:A22)</f>
        <v>18</v>
      </c>
      <c r="E24" s="2"/>
      <c r="G24" s="8" t="s">
        <v>39</v>
      </c>
    </row>
  </sheetData>
  <sortState ref="A2:G19">
    <sortCondition ref="G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5"/>
  <sheetViews>
    <sheetView topLeftCell="A10" workbookViewId="0">
      <selection activeCell="A47" sqref="A47"/>
    </sheetView>
  </sheetViews>
  <sheetFormatPr defaultRowHeight="15" x14ac:dyDescent="0.25"/>
  <cols>
    <col min="2" max="2" width="22.5703125" customWidth="1"/>
    <col min="3" max="3" width="27.7109375" customWidth="1"/>
    <col min="4" max="4" width="20.85546875" customWidth="1"/>
    <col min="5" max="5" width="22.5703125" bestFit="1" customWidth="1"/>
    <col min="6" max="6" width="25.140625" customWidth="1"/>
  </cols>
  <sheetData>
    <row r="2" spans="1:3" x14ac:dyDescent="0.25">
      <c r="A2">
        <v>1</v>
      </c>
      <c r="B2" s="3" t="s">
        <v>34</v>
      </c>
      <c r="C2" t="s">
        <v>36</v>
      </c>
    </row>
    <row r="3" spans="1:3" x14ac:dyDescent="0.25">
      <c r="B3" s="4" t="s">
        <v>14</v>
      </c>
      <c r="C3" s="1">
        <v>25</v>
      </c>
    </row>
    <row r="4" spans="1:3" x14ac:dyDescent="0.25">
      <c r="B4" s="4" t="s">
        <v>35</v>
      </c>
      <c r="C4" s="1">
        <v>25</v>
      </c>
    </row>
    <row r="7" spans="1:3" x14ac:dyDescent="0.25">
      <c r="A7">
        <v>2</v>
      </c>
      <c r="B7" s="3" t="s">
        <v>34</v>
      </c>
      <c r="C7" t="s">
        <v>36</v>
      </c>
    </row>
    <row r="8" spans="1:3" x14ac:dyDescent="0.25">
      <c r="B8" s="4" t="s">
        <v>16</v>
      </c>
      <c r="C8" s="1">
        <v>5</v>
      </c>
    </row>
    <row r="9" spans="1:3" x14ac:dyDescent="0.25">
      <c r="B9" s="5" t="s">
        <v>7</v>
      </c>
      <c r="C9" s="1">
        <v>5</v>
      </c>
    </row>
    <row r="10" spans="1:3" x14ac:dyDescent="0.25">
      <c r="B10" s="4" t="s">
        <v>35</v>
      </c>
      <c r="C10" s="1">
        <v>5</v>
      </c>
    </row>
    <row r="12" spans="1:3" x14ac:dyDescent="0.25">
      <c r="A12">
        <v>3</v>
      </c>
      <c r="B12" s="3" t="s">
        <v>34</v>
      </c>
      <c r="C12" t="s">
        <v>36</v>
      </c>
    </row>
    <row r="13" spans="1:3" x14ac:dyDescent="0.25">
      <c r="B13" s="4" t="s">
        <v>9</v>
      </c>
      <c r="C13" s="1">
        <v>12</v>
      </c>
    </row>
    <row r="14" spans="1:3" x14ac:dyDescent="0.25">
      <c r="B14" s="4" t="s">
        <v>35</v>
      </c>
      <c r="C14" s="1">
        <v>12</v>
      </c>
    </row>
    <row r="16" spans="1:3" x14ac:dyDescent="0.25">
      <c r="A16">
        <v>4</v>
      </c>
      <c r="B16" s="3" t="s">
        <v>34</v>
      </c>
      <c r="C16" t="s">
        <v>36</v>
      </c>
    </row>
    <row r="17" spans="1:6" x14ac:dyDescent="0.25">
      <c r="B17" s="4" t="s">
        <v>19</v>
      </c>
      <c r="C17" s="1">
        <v>5</v>
      </c>
    </row>
    <row r="18" spans="1:6" x14ac:dyDescent="0.25">
      <c r="B18" s="5" t="s">
        <v>17</v>
      </c>
      <c r="C18" s="1">
        <v>1</v>
      </c>
    </row>
    <row r="19" spans="1:6" x14ac:dyDescent="0.25">
      <c r="B19" s="5" t="s">
        <v>15</v>
      </c>
      <c r="C19" s="1">
        <v>4</v>
      </c>
    </row>
    <row r="20" spans="1:6" x14ac:dyDescent="0.25">
      <c r="B20" s="4" t="s">
        <v>35</v>
      </c>
      <c r="C20" s="1">
        <v>5</v>
      </c>
    </row>
    <row r="22" spans="1:6" x14ac:dyDescent="0.25">
      <c r="A22">
        <v>5</v>
      </c>
      <c r="B22" s="3" t="s">
        <v>34</v>
      </c>
      <c r="C22" t="s">
        <v>36</v>
      </c>
    </row>
    <row r="23" spans="1:6" x14ac:dyDescent="0.25">
      <c r="B23" s="4" t="s">
        <v>21</v>
      </c>
      <c r="C23" s="1">
        <v>6</v>
      </c>
    </row>
    <row r="24" spans="1:6" x14ac:dyDescent="0.25">
      <c r="B24" s="5" t="s">
        <v>32</v>
      </c>
      <c r="C24" s="1">
        <v>6</v>
      </c>
    </row>
    <row r="25" spans="1:6" x14ac:dyDescent="0.25">
      <c r="B25" s="4" t="s">
        <v>35</v>
      </c>
      <c r="C25" s="1">
        <v>6</v>
      </c>
      <c r="E25" s="3" t="s">
        <v>6</v>
      </c>
      <c r="F25" t="s">
        <v>38</v>
      </c>
    </row>
    <row r="27" spans="1:6" x14ac:dyDescent="0.25">
      <c r="A27" s="6">
        <v>6</v>
      </c>
      <c r="B27" s="6" t="s">
        <v>36</v>
      </c>
      <c r="D27">
        <v>6</v>
      </c>
      <c r="E27" t="s">
        <v>36</v>
      </c>
    </row>
    <row r="28" spans="1:6" x14ac:dyDescent="0.25">
      <c r="A28" s="6"/>
      <c r="B28" s="7">
        <v>54</v>
      </c>
      <c r="E28" s="1">
        <v>39</v>
      </c>
    </row>
    <row r="30" spans="1:6" x14ac:dyDescent="0.25">
      <c r="A30">
        <v>7</v>
      </c>
      <c r="B30" s="3" t="s">
        <v>34</v>
      </c>
      <c r="C30" t="s">
        <v>36</v>
      </c>
    </row>
    <row r="31" spans="1:6" x14ac:dyDescent="0.25">
      <c r="B31" s="4" t="s">
        <v>9</v>
      </c>
      <c r="C31" s="1">
        <v>12</v>
      </c>
    </row>
    <row r="32" spans="1:6" x14ac:dyDescent="0.25">
      <c r="B32" s="5" t="s">
        <v>17</v>
      </c>
      <c r="C32" s="1">
        <v>6</v>
      </c>
    </row>
    <row r="33" spans="1:3" x14ac:dyDescent="0.25">
      <c r="B33" s="5" t="s">
        <v>14</v>
      </c>
      <c r="C33" s="1">
        <v>4</v>
      </c>
    </row>
    <row r="34" spans="1:3" x14ac:dyDescent="0.25">
      <c r="B34" s="5" t="s">
        <v>16</v>
      </c>
      <c r="C34" s="1">
        <v>2</v>
      </c>
    </row>
    <row r="35" spans="1:3" x14ac:dyDescent="0.25">
      <c r="B35" s="4" t="s">
        <v>35</v>
      </c>
      <c r="C35" s="1">
        <v>12</v>
      </c>
    </row>
    <row r="37" spans="1:3" x14ac:dyDescent="0.25">
      <c r="A37">
        <v>8</v>
      </c>
      <c r="B37" s="3" t="s">
        <v>34</v>
      </c>
      <c r="C37" t="s">
        <v>37</v>
      </c>
    </row>
    <row r="38" spans="1:3" x14ac:dyDescent="0.25">
      <c r="B38" s="4" t="s">
        <v>7</v>
      </c>
      <c r="C38" s="1">
        <v>1170</v>
      </c>
    </row>
    <row r="39" spans="1:3" x14ac:dyDescent="0.25">
      <c r="B39" s="4" t="s">
        <v>35</v>
      </c>
      <c r="C39" s="1">
        <v>1170</v>
      </c>
    </row>
    <row r="41" spans="1:3" x14ac:dyDescent="0.25">
      <c r="A41">
        <v>9</v>
      </c>
      <c r="B41" s="3" t="s">
        <v>34</v>
      </c>
      <c r="C41" t="s">
        <v>36</v>
      </c>
    </row>
    <row r="42" spans="1:3" x14ac:dyDescent="0.25">
      <c r="B42" s="4" t="s">
        <v>33</v>
      </c>
      <c r="C42" s="1">
        <v>21</v>
      </c>
    </row>
    <row r="43" spans="1:3" x14ac:dyDescent="0.25">
      <c r="B43" s="4" t="s">
        <v>31</v>
      </c>
      <c r="C43" s="1">
        <v>4</v>
      </c>
    </row>
    <row r="44" spans="1:3" x14ac:dyDescent="0.25">
      <c r="B44" s="4" t="s">
        <v>32</v>
      </c>
      <c r="C44" s="1">
        <v>29</v>
      </c>
    </row>
    <row r="45" spans="1:3" x14ac:dyDescent="0.25">
      <c r="B45" s="4" t="s">
        <v>35</v>
      </c>
      <c r="C45" s="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1</vt:lpstr>
      <vt:lpstr>2</vt:lpstr>
      <vt:lpstr>3</vt:lpstr>
      <vt:lpstr>4</vt:lpstr>
      <vt:lpstr>5</vt:lpstr>
      <vt:lpstr>Сводные таблицы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2006-12-31T12:19:46Z</dcterms:modified>
</cp:coreProperties>
</file>