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defaultThemeVersion="164011"/>
  <bookViews>
    <workbookView xWindow="0" yWindow="0" windowWidth="22260" windowHeight="12645" activeTab="2"/>
  </bookViews>
  <sheets>
    <sheet name="Товары" sheetId="1" r:id="rId1"/>
    <sheet name="Клиенты" sheetId="2" r:id="rId2"/>
    <sheet name="Продажи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3" l="1"/>
  <c r="E3" i="3"/>
  <c r="C3" i="3"/>
  <c r="D3" i="3" s="1"/>
  <c r="B3" i="3"/>
  <c r="A3" i="3"/>
  <c r="E3" i="2"/>
  <c r="E4" i="2"/>
  <c r="E5" i="2"/>
  <c r="E6" i="2"/>
  <c r="E2" i="2"/>
</calcChain>
</file>

<file path=xl/sharedStrings.xml><?xml version="1.0" encoding="utf-8"?>
<sst xmlns="http://schemas.openxmlformats.org/spreadsheetml/2006/main" count="64" uniqueCount="54">
  <si>
    <t>Цена</t>
  </si>
  <si>
    <t>Коврик для мыши</t>
  </si>
  <si>
    <t>Дисковод FDD SONY, 1,44 Mb 3,5"</t>
  </si>
  <si>
    <t>Монитор DX 777 \ ProView CRT 17"</t>
  </si>
  <si>
    <t>Клавиатура Genius Slender Desktop PS/2</t>
  </si>
  <si>
    <t>Мышь Roline Optical mouse 3D Roline оптическая прокрутка PS/2</t>
  </si>
  <si>
    <t>Жёсткий диск HDD Samsung SP0411N IDE 40 Gb 7200rpm</t>
  </si>
  <si>
    <t>Модуль памяти DDR 256Mb PC 333 NCP</t>
  </si>
  <si>
    <t>Процессор INTEL Celeron 2,4 GHz (128Kb, 400 MHz socket 478 box)</t>
  </si>
  <si>
    <t>Rjhgec MiniTower IN WIN MicroATX 2203 180W P4 (2 port USB)</t>
  </si>
  <si>
    <t>Материнская плата Intel D865PERL I865PE, Socket478, FSB800, 4xDDR400, ATA100, SATA, AGP 8x, звук 6-ch, ATX</t>
  </si>
  <si>
    <t>Системный блок SE IN WIN L551/BLKD845GVSRL/Celeron 2,4 GHz / HDD IDE 40 Gb 7200rpm/FDD 3,5"</t>
  </si>
  <si>
    <t>Код клиента</t>
  </si>
  <si>
    <t>Фамилия</t>
  </si>
  <si>
    <t>Имя</t>
  </si>
  <si>
    <t>Отчество</t>
  </si>
  <si>
    <t>Адрес</t>
  </si>
  <si>
    <t>Телефон</t>
  </si>
  <si>
    <t>к100</t>
  </si>
  <si>
    <t>к101</t>
  </si>
  <si>
    <t>к102</t>
  </si>
  <si>
    <t>к103</t>
  </si>
  <si>
    <t>к104</t>
  </si>
  <si>
    <t>Петров</t>
  </si>
  <si>
    <t>Авдеева</t>
  </si>
  <si>
    <t>Сахарова</t>
  </si>
  <si>
    <t>Зимогляд</t>
  </si>
  <si>
    <t>Андрей</t>
  </si>
  <si>
    <t>Ольга</t>
  </si>
  <si>
    <t>Наталья</t>
  </si>
  <si>
    <t>Олег</t>
  </si>
  <si>
    <t>Игоревич</t>
  </si>
  <si>
    <t>Сергеевна</t>
  </si>
  <si>
    <t>Викторовна</t>
  </si>
  <si>
    <t>Семёнович</t>
  </si>
  <si>
    <t>ул. Победы 12</t>
  </si>
  <si>
    <t>б-р Кулибина 2</t>
  </si>
  <si>
    <t>ул. Юбилейная 10</t>
  </si>
  <si>
    <t>б-р Цветной 7</t>
  </si>
  <si>
    <t>б-р Будённова 13</t>
  </si>
  <si>
    <t>70-40-12</t>
  </si>
  <si>
    <t>32-78-56</t>
  </si>
  <si>
    <t>34-89-15</t>
  </si>
  <si>
    <t>40-71-78</t>
  </si>
  <si>
    <t>34-90-87</t>
  </si>
  <si>
    <t>Дата</t>
  </si>
  <si>
    <t>Товар</t>
  </si>
  <si>
    <t>Кол-во</t>
  </si>
  <si>
    <t>Сумма</t>
  </si>
  <si>
    <t>Клиенты</t>
  </si>
  <si>
    <t>Товары</t>
  </si>
  <si>
    <t>к102 Сахарова Наталья Викторовна</t>
  </si>
  <si>
    <t>к103 Зимогляд Олег Семёнович</t>
  </si>
  <si>
    <t>к101 Авдеева Ольга Сергеевна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</si>
</sst>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6" formatCode="#,##0&quot;р.&quot;;[Red]\-#,##0&quot;р.&quot;"/>
    <numFmt numFmtId="8" formatCode="#,##0.00&quot;р.&quot;;[Red]\-#,##0.00&quot;р.&quot;"/>
    <numFmt numFmtId="165" formatCode="#,##0.00&quot;р.&quot;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8" fontId="0" fillId="0" borderId="0" xfId="0" applyNumberFormat="1"/>
    <xf numFmtId="6" fontId="0" fillId="0" borderId="0" xfId="0" applyNumberFormat="1"/>
    <xf numFmtId="49" fontId="0" fillId="0" borderId="0" xfId="0" applyNumberFormat="1" applyAlignment="1"/>
    <xf numFmtId="14" fontId="0" fillId="0" borderId="0" xfId="0" applyNumberFormat="1"/>
    <xf numFmtId="165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16" fmlaLink="Продажи!$B$2" fmlaRange="Клиенты!E2:E100" noThreeD="1" sel="2"/>
</file>

<file path=xl/ctrlProps/ctrlProp2.xml><?xml version="1.0" encoding="utf-8"?>
<formControlPr xmlns="http://schemas.microsoft.com/office/spreadsheetml/2009/9/main" objectType="Drop" dropStyle="combo" dx="16" fmlaLink="$C$2" fmlaRange="Товары!$A$2:$A$100" noThreeD="1" sel="5" val="4"/>
</file>

<file path=xl/ctrlProps/ctrlProp3.xml><?xml version="1.0" encoding="utf-8"?>
<formControlPr xmlns="http://schemas.microsoft.com/office/spreadsheetml/2009/9/main" objectType="Spin" dx="22" fmlaLink="$M$2" max="10000" min="1" page="10" val="4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904874</xdr:colOff>
          <xdr:row>0</xdr:row>
          <xdr:rowOff>238125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9524</xdr:colOff>
          <xdr:row>0</xdr:row>
          <xdr:rowOff>19049</xdr:rowOff>
        </xdr:from>
        <xdr:to>
          <xdr:col>8</xdr:col>
          <xdr:colOff>295274</xdr:colOff>
          <xdr:row>0</xdr:row>
          <xdr:rowOff>209550</xdr:rowOff>
        </xdr:to>
        <xdr:sp macro="" textlink="">
          <xdr:nvSpPr>
            <xdr:cNvPr id="3074" name="Drop Dow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1</xdr:rowOff>
        </xdr:from>
        <xdr:to>
          <xdr:col>12</xdr:col>
          <xdr:colOff>600074</xdr:colOff>
          <xdr:row>1</xdr:row>
          <xdr:rowOff>19051</xdr:rowOff>
        </xdr:to>
        <xdr:sp macro="" textlink="">
          <xdr:nvSpPr>
            <xdr:cNvPr id="3075" name="Spinner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2"/>
  <sheetViews>
    <sheetView workbookViewId="0">
      <selection activeCell="A16" sqref="A16"/>
    </sheetView>
  </sheetViews>
  <sheetFormatPr defaultRowHeight="15" x14ac:dyDescent="0.25"/>
  <cols>
    <col min="1" max="1" width="98.85546875" customWidth="1"/>
    <col min="2" max="2" width="23.42578125" customWidth="1"/>
  </cols>
  <sheetData>
    <row r="1" spans="1:2" x14ac:dyDescent="0.25">
      <c r="A1" t="s">
        <v>50</v>
      </c>
      <c r="B1" t="s">
        <v>0</v>
      </c>
    </row>
    <row r="2" spans="1:2" ht="30" customHeight="1" x14ac:dyDescent="0.25">
      <c r="A2" t="s">
        <v>11</v>
      </c>
      <c r="B2" s="1">
        <v>9582.1299999999992</v>
      </c>
    </row>
    <row r="3" spans="1:2" x14ac:dyDescent="0.25">
      <c r="A3" t="s">
        <v>9</v>
      </c>
      <c r="B3" s="1">
        <v>1327.96</v>
      </c>
    </row>
    <row r="4" spans="1:2" ht="20.25" customHeight="1" x14ac:dyDescent="0.25">
      <c r="A4" s="3" t="s">
        <v>10</v>
      </c>
      <c r="B4" s="2">
        <v>2620</v>
      </c>
    </row>
    <row r="5" spans="1:2" x14ac:dyDescent="0.25">
      <c r="A5" t="s">
        <v>8</v>
      </c>
      <c r="B5" s="1">
        <v>2228.98</v>
      </c>
    </row>
    <row r="6" spans="1:2" x14ac:dyDescent="0.25">
      <c r="A6" t="s">
        <v>7</v>
      </c>
      <c r="B6" s="1">
        <v>1576.5</v>
      </c>
    </row>
    <row r="7" spans="1:2" x14ac:dyDescent="0.25">
      <c r="A7" t="s">
        <v>6</v>
      </c>
      <c r="B7" s="1">
        <v>1643.26</v>
      </c>
    </row>
    <row r="8" spans="1:2" x14ac:dyDescent="0.25">
      <c r="A8" t="s">
        <v>2</v>
      </c>
      <c r="B8" s="1">
        <v>185.43</v>
      </c>
    </row>
    <row r="9" spans="1:2" x14ac:dyDescent="0.25">
      <c r="A9" t="s">
        <v>3</v>
      </c>
      <c r="B9" s="1">
        <v>4192.4399999999996</v>
      </c>
    </row>
    <row r="10" spans="1:2" x14ac:dyDescent="0.25">
      <c r="A10" t="s">
        <v>4</v>
      </c>
      <c r="B10" s="1">
        <v>143.93</v>
      </c>
    </row>
    <row r="11" spans="1:2" x14ac:dyDescent="0.25">
      <c r="A11" t="s">
        <v>5</v>
      </c>
      <c r="B11" s="2">
        <v>195</v>
      </c>
    </row>
    <row r="12" spans="1:2" x14ac:dyDescent="0.25">
      <c r="A12" t="s">
        <v>1</v>
      </c>
      <c r="B12" s="2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G6"/>
  <sheetViews>
    <sheetView workbookViewId="0">
      <selection activeCell="E2" sqref="E2"/>
    </sheetView>
  </sheetViews>
  <sheetFormatPr defaultRowHeight="15" x14ac:dyDescent="0.25"/>
  <cols>
    <col min="1" max="1" width="22.42578125" customWidth="1"/>
    <col min="4" max="4" width="17.28515625" customWidth="1"/>
    <col min="5" max="5" width="33.42578125" customWidth="1"/>
    <col min="6" max="6" width="22" customWidth="1"/>
    <col min="7" max="7" width="14.140625" customWidth="1"/>
  </cols>
  <sheetData>
    <row r="1" spans="1:7" x14ac:dyDescent="0.25">
      <c r="A1" t="s">
        <v>12</v>
      </c>
      <c r="B1" t="s">
        <v>13</v>
      </c>
      <c r="C1" t="s">
        <v>14</v>
      </c>
      <c r="D1" t="s">
        <v>15</v>
      </c>
      <c r="E1" t="s">
        <v>49</v>
      </c>
      <c r="F1" t="s">
        <v>16</v>
      </c>
      <c r="G1" t="s">
        <v>17</v>
      </c>
    </row>
    <row r="2" spans="1:7" x14ac:dyDescent="0.25">
      <c r="A2" t="s">
        <v>18</v>
      </c>
      <c r="B2" t="s">
        <v>23</v>
      </c>
      <c r="C2" t="s">
        <v>27</v>
      </c>
      <c r="D2" t="s">
        <v>31</v>
      </c>
      <c r="E2" t="str">
        <f>CONCATENATE(A2," ",B2," ",C2," ",D2)</f>
        <v>к100 Петров Андрей Игоревич</v>
      </c>
      <c r="F2" t="s">
        <v>35</v>
      </c>
      <c r="G2" t="s">
        <v>40</v>
      </c>
    </row>
    <row r="3" spans="1:7" x14ac:dyDescent="0.25">
      <c r="A3" t="s">
        <v>19</v>
      </c>
      <c r="B3" t="s">
        <v>24</v>
      </c>
      <c r="C3" t="s">
        <v>28</v>
      </c>
      <c r="D3" t="s">
        <v>32</v>
      </c>
      <c r="E3" t="str">
        <f>CONCATENATE(A3," ",B3," ",C3," ",D3)</f>
        <v>к101 Авдеева Ольга Сергеевна</v>
      </c>
      <c r="F3" t="s">
        <v>36</v>
      </c>
      <c r="G3" t="s">
        <v>41</v>
      </c>
    </row>
    <row r="4" spans="1:7" x14ac:dyDescent="0.25">
      <c r="A4" t="s">
        <v>20</v>
      </c>
      <c r="B4" t="s">
        <v>25</v>
      </c>
      <c r="C4" t="s">
        <v>29</v>
      </c>
      <c r="D4" t="s">
        <v>33</v>
      </c>
      <c r="E4" t="str">
        <f>CONCATENATE(A4," ",B4," ",C4," ",D4)</f>
        <v>к102 Сахарова Наталья Викторовна</v>
      </c>
      <c r="F4" t="s">
        <v>37</v>
      </c>
      <c r="G4" t="s">
        <v>42</v>
      </c>
    </row>
    <row r="5" spans="1:7" x14ac:dyDescent="0.25">
      <c r="A5" t="s">
        <v>21</v>
      </c>
      <c r="B5" t="s">
        <v>26</v>
      </c>
      <c r="C5" t="s">
        <v>30</v>
      </c>
      <c r="D5" t="s">
        <v>34</v>
      </c>
      <c r="E5" t="str">
        <f>CONCATENATE(A5," ",B5," ",C5," ",D5)</f>
        <v>к103 Зимогляд Олег Семёнович</v>
      </c>
      <c r="F5" t="s">
        <v>38</v>
      </c>
      <c r="G5" t="s">
        <v>43</v>
      </c>
    </row>
    <row r="6" spans="1:7" x14ac:dyDescent="0.25">
      <c r="A6" t="s">
        <v>22</v>
      </c>
      <c r="B6" t="s">
        <v>23</v>
      </c>
      <c r="C6" t="s">
        <v>27</v>
      </c>
      <c r="D6" t="s">
        <v>31</v>
      </c>
      <c r="E6" t="str">
        <f>CONCATENATE(A6," ",B6," ",C6," ",D6)</f>
        <v>к104 Петров Андрей Игоревич</v>
      </c>
      <c r="F6" t="s">
        <v>39</v>
      </c>
      <c r="G6" t="s">
        <v>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M13"/>
  <sheetViews>
    <sheetView tabSelected="1" workbookViewId="0">
      <selection activeCell="D3" sqref="D3"/>
    </sheetView>
  </sheetViews>
  <sheetFormatPr defaultRowHeight="15" x14ac:dyDescent="0.25"/>
  <cols>
    <col min="1" max="1" width="24.28515625" customWidth="1"/>
    <col min="2" max="2" width="33.42578125" customWidth="1"/>
    <col min="3" max="3" width="26.5703125" customWidth="1"/>
    <col min="4" max="4" width="15" customWidth="1"/>
  </cols>
  <sheetData>
    <row r="1" spans="1:13" ht="28.5" customHeight="1" x14ac:dyDescent="0.25"/>
    <row r="2" spans="1:13" x14ac:dyDescent="0.25">
      <c r="B2">
        <v>2</v>
      </c>
      <c r="C2">
        <v>5</v>
      </c>
      <c r="M2">
        <v>4</v>
      </c>
    </row>
    <row r="3" spans="1:13" x14ac:dyDescent="0.25">
      <c r="A3" s="4">
        <f ca="1">TODAY()</f>
        <v>39083</v>
      </c>
      <c r="B3" t="str">
        <f>INDEX(Клиенты!E:E,Продажи!B2+1)</f>
        <v>к101 Авдеева Ольга Сергеевна</v>
      </c>
      <c r="C3" t="str">
        <f>INDEX(Товары!A:A,Продажи!C2+1)</f>
        <v>Модуль памяти DDR 256Mb PC 333 NCP</v>
      </c>
      <c r="D3">
        <f>VLOOKUP(C3,Товары!A1:B12,2,FALSE)</f>
        <v>1576.5</v>
      </c>
      <c r="E3">
        <f>M2</f>
        <v>4</v>
      </c>
      <c r="F3" s="5">
        <f>E3*D3</f>
        <v>6306</v>
      </c>
    </row>
    <row r="6" spans="1:13" x14ac:dyDescent="0.25">
      <c r="A6" t="s">
        <v>45</v>
      </c>
      <c r="B6" t="s">
        <v>12</v>
      </c>
      <c r="C6" t="s">
        <v>46</v>
      </c>
      <c r="D6" t="s">
        <v>0</v>
      </c>
      <c r="E6" t="s">
        <v>47</v>
      </c>
      <c r="F6" t="s">
        <v>48</v>
      </c>
    </row>
    <row r="7" spans="1:13" x14ac:dyDescent="0.25">
      <c r="A7" s="4">
        <v>39083</v>
      </c>
      <c r="B7" t="s">
        <v>53</v>
      </c>
      <c r="C7" t="s">
        <v>2</v>
      </c>
      <c r="D7">
        <v>185.43</v>
      </c>
      <c r="E7">
        <v>4</v>
      </c>
      <c r="F7" s="5">
        <v>741.72</v>
      </c>
    </row>
    <row r="8" spans="1:13" x14ac:dyDescent="0.25">
      <c r="A8" s="4">
        <v>39083</v>
      </c>
      <c r="B8" t="s">
        <v>53</v>
      </c>
      <c r="C8" t="s">
        <v>2</v>
      </c>
      <c r="D8">
        <v>185.43</v>
      </c>
      <c r="E8">
        <v>9</v>
      </c>
      <c r="F8" s="5">
        <v>1668.8700000000001</v>
      </c>
    </row>
    <row r="9" spans="1:13" x14ac:dyDescent="0.25">
      <c r="A9" s="4">
        <v>39083</v>
      </c>
      <c r="B9" t="s">
        <v>51</v>
      </c>
      <c r="C9" t="s">
        <v>5</v>
      </c>
      <c r="D9">
        <v>195</v>
      </c>
      <c r="E9">
        <v>4</v>
      </c>
      <c r="F9" s="5">
        <v>780</v>
      </c>
    </row>
    <row r="10" spans="1:13" x14ac:dyDescent="0.25">
      <c r="A10" s="4">
        <v>39083</v>
      </c>
      <c r="B10" t="s">
        <v>52</v>
      </c>
      <c r="C10" t="s">
        <v>1</v>
      </c>
      <c r="D10">
        <v>6</v>
      </c>
      <c r="E10">
        <v>6</v>
      </c>
      <c r="F10" s="5">
        <v>36</v>
      </c>
    </row>
    <row r="11" spans="1:13" x14ac:dyDescent="0.25">
      <c r="A11" s="4"/>
      <c r="F11" s="5"/>
    </row>
    <row r="13" spans="1:13" x14ac:dyDescent="0.25">
      <c r="A13" s="4"/>
      <c r="F13" s="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Drop Down 1">
              <controlPr defaultSize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904875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Drop Down 2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19050</xdr:rowOff>
                  </from>
                  <to>
                    <xdr:col>8</xdr:col>
                    <xdr:colOff>295275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Spinner 3">
              <controlPr defaultSize="0" autoPict="0">
                <anchor moveWithCells="1" sizeWithCells="1">
                  <from>
                    <xdr:col>12</xdr:col>
                    <xdr:colOff>9525</xdr:colOff>
                    <xdr:row>0</xdr:row>
                    <xdr:rowOff>0</xdr:rowOff>
                  </from>
                  <to>
                    <xdr:col>12</xdr:col>
                    <xdr:colOff>600075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Товары</vt:lpstr>
      <vt:lpstr>Клиенты</vt:lpstr>
      <vt:lpstr>Продажи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2006-12-31T12:18:12Z</dcterms:modified>
</cp:coreProperties>
</file>