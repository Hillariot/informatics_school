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Лист1!$B$2:$B$17</definedName>
    <definedName name="_xlnm.Extract" localSheetId="0">Лист1!#REF!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L4" i="1"/>
  <c r="L5" i="1"/>
  <c r="L6" i="1"/>
  <c r="K6" i="1"/>
  <c r="K5" i="1"/>
  <c r="K4" i="1"/>
  <c r="K3" i="1"/>
  <c r="L3" i="1" s="1"/>
  <c r="J5" i="1"/>
  <c r="J4" i="1"/>
  <c r="J3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<sst xmlns="http://schemas.openxmlformats.org/spreadsheetml/2006/main" count="56" uniqueCount="25">
  <si>
    <t>Фирма</t>
  </si>
  <si>
    <t>Агент</t>
  </si>
  <si>
    <t>Сумма сделки (млн)</t>
  </si>
  <si>
    <t>Дата</t>
  </si>
  <si>
    <t>Вега</t>
  </si>
  <si>
    <t>Витязь</t>
  </si>
  <si>
    <t>Новинка</t>
  </si>
  <si>
    <t>АвтоВазТорг</t>
  </si>
  <si>
    <t>Баранов</t>
  </si>
  <si>
    <t>Козлов</t>
  </si>
  <si>
    <t>Петров</t>
  </si>
  <si>
    <t>Петухов</t>
  </si>
  <si>
    <t>1 задание</t>
  </si>
  <si>
    <t>2 задание</t>
  </si>
  <si>
    <t>3 задание</t>
  </si>
  <si>
    <t>4 задание</t>
  </si>
  <si>
    <t>5 задание</t>
  </si>
  <si>
    <t>6 задание</t>
  </si>
  <si>
    <t>7 задание</t>
  </si>
  <si>
    <t>8 задание</t>
  </si>
  <si>
    <t>9 задание</t>
  </si>
  <si>
    <t>10 задание</t>
  </si>
  <si>
    <t>Всего сделок</t>
  </si>
  <si>
    <t>На сумму</t>
  </si>
  <si>
    <t>Премия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</si>
</sst>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J7" sqref="J7"/>
    </sheetView>
  </sheetViews>
  <sheetFormatPr defaultRowHeight="15" x14ac:dyDescent="0.25"/>
  <cols>
    <col min="1" max="1" width="13.42578125" customWidth="1"/>
    <col min="3" max="3" width="20.42578125" customWidth="1"/>
    <col min="4" max="4" width="10.140625" bestFit="1" customWidth="1"/>
    <col min="6" max="6" width="11.7109375" customWidth="1"/>
    <col min="10" max="10" width="15.7109375" customWidth="1"/>
    <col min="12" max="12" width="19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</row>
    <row r="2" spans="1:12" x14ac:dyDescent="0.25">
      <c r="A2" t="s">
        <v>4</v>
      </c>
      <c r="B2" t="s">
        <v>8</v>
      </c>
      <c r="C2">
        <v>9</v>
      </c>
      <c r="D2" s="1">
        <v>41292</v>
      </c>
      <c r="F2" t="s">
        <v>12</v>
      </c>
      <c r="G2">
        <f>SUMIF(B2:B17,B14,C2:C17)</f>
        <v>41</v>
      </c>
      <c r="I2" t="s">
        <v>1</v>
      </c>
      <c r="J2" t="s">
        <v>22</v>
      </c>
      <c r="K2" t="s">
        <v>23</v>
      </c>
      <c r="L2" t="s">
        <v>24</v>
      </c>
    </row>
    <row r="3" spans="1:12" x14ac:dyDescent="0.25">
      <c r="A3" t="s">
        <v>5</v>
      </c>
      <c r="B3" t="s">
        <v>8</v>
      </c>
      <c r="C3">
        <v>10</v>
      </c>
      <c r="D3" s="1">
        <v>41293</v>
      </c>
      <c r="F3" t="s">
        <v>13</v>
      </c>
      <c r="G3">
        <f>COUNTIF(B2:B17,B2)</f>
        <v>5</v>
      </c>
      <c r="I3" t="s">
        <v>8</v>
      </c>
      <c r="J3">
        <f>COUNTIF(B2:B17,B2)</f>
        <v>5</v>
      </c>
      <c r="K3">
        <f>SUMIF(B2:B17,B2,C2:C17)</f>
        <v>44</v>
      </c>
      <c r="L3">
        <f>IF(AND(J3&gt;=5,K3&gt;40),5000,"Не будет премии(")</f>
        <v>5000</v>
      </c>
    </row>
    <row r="4" spans="1:12" x14ac:dyDescent="0.25">
      <c r="A4" t="s">
        <v>5</v>
      </c>
      <c r="B4" t="s">
        <v>8</v>
      </c>
      <c r="C4">
        <v>10</v>
      </c>
      <c r="D4" s="1">
        <v>41316</v>
      </c>
      <c r="F4" t="s">
        <v>14</v>
      </c>
      <c r="G4">
        <f>COUNTIF(C2:C17,"&gt;10")</f>
        <v>4</v>
      </c>
      <c r="I4" t="s">
        <v>9</v>
      </c>
      <c r="J4">
        <f>COUNTIF(B2:B17,B7)</f>
        <v>4</v>
      </c>
      <c r="K4">
        <f>SUMIF(B2:B17,B7,C2:C17)</f>
        <v>22</v>
      </c>
      <c r="L4" t="str">
        <f t="shared" ref="L4:L6" si="0">IF(AND(J4&gt;=5,K4&gt;40),5000,"Не будет премии(")</f>
        <v>Не будет премии(</v>
      </c>
    </row>
    <row r="5" spans="1:12" x14ac:dyDescent="0.25">
      <c r="A5" t="s">
        <v>5</v>
      </c>
      <c r="B5" t="s">
        <v>8</v>
      </c>
      <c r="C5">
        <v>7</v>
      </c>
      <c r="D5" s="1">
        <v>41316</v>
      </c>
      <c r="F5" t="s">
        <v>15</v>
      </c>
      <c r="G5">
        <f>COUNTIFS(B2:B17,B7,A2:A17,A7)</f>
        <v>3</v>
      </c>
      <c r="I5" t="s">
        <v>10</v>
      </c>
      <c r="J5">
        <f>COUNTIF(B2:B17,B11)</f>
        <v>3</v>
      </c>
      <c r="K5">
        <f>SUMIF(B2:B17,B11,C2:C17)</f>
        <v>33</v>
      </c>
      <c r="L5" t="str">
        <f t="shared" si="0"/>
        <v>Не будет премии(</v>
      </c>
    </row>
    <row r="6" spans="1:12" x14ac:dyDescent="0.25">
      <c r="A6" t="s">
        <v>6</v>
      </c>
      <c r="B6" t="s">
        <v>8</v>
      </c>
      <c r="C6">
        <v>8</v>
      </c>
      <c r="D6" s="1">
        <v>41279</v>
      </c>
      <c r="F6" t="s">
        <v>16</v>
      </c>
      <c r="G6">
        <f>SUMIFS(C2:C17,B2:B17,"Петров",A2:A17,"Вега")+SUMIFS(C2:C17,B2:B17,"Петров",A2:A17,"Новинка")</f>
        <v>21</v>
      </c>
      <c r="I6" t="s">
        <v>11</v>
      </c>
      <c r="J6">
        <f>COUNTIF(B2:B18,B14)</f>
        <v>5</v>
      </c>
      <c r="K6">
        <f>SUMIF(B2:B17,B14,C2:C17)</f>
        <v>41</v>
      </c>
      <c r="L6">
        <f t="shared" si="0"/>
        <v>5000</v>
      </c>
    </row>
    <row r="7" spans="1:12" x14ac:dyDescent="0.25">
      <c r="A7" t="s">
        <v>7</v>
      </c>
      <c r="B7" t="s">
        <v>9</v>
      </c>
      <c r="C7">
        <v>7</v>
      </c>
      <c r="D7" s="1">
        <v>41290</v>
      </c>
      <c r="F7" t="s">
        <v>17</v>
      </c>
      <c r="G7">
        <f>AVERAGEIF(A2:A17,A6,C2:C17)</f>
        <v>5.333333333333333</v>
      </c>
    </row>
    <row r="8" spans="1:12" x14ac:dyDescent="0.25">
      <c r="A8" t="s">
        <v>7</v>
      </c>
      <c r="B8" t="s">
        <v>9</v>
      </c>
      <c r="C8">
        <v>12</v>
      </c>
      <c r="D8" s="1">
        <v>41279</v>
      </c>
      <c r="F8" t="s">
        <v>18</v>
      </c>
      <c r="G8">
        <f>COUNTIFS(B2:B17,B14,D2:D17,D9)</f>
        <v>1</v>
      </c>
    </row>
    <row r="9" spans="1:12" x14ac:dyDescent="0.25">
      <c r="A9" t="s">
        <v>7</v>
      </c>
      <c r="B9" t="s">
        <v>9</v>
      </c>
      <c r="C9">
        <v>1</v>
      </c>
      <c r="D9" s="1">
        <v>41280</v>
      </c>
      <c r="F9" t="s">
        <v>19</v>
      </c>
      <c r="G9">
        <f>SUMIFS(C2:C17,B2:B17,B7,D2:D17,D9)</f>
        <v>3</v>
      </c>
    </row>
    <row r="10" spans="1:12" x14ac:dyDescent="0.25">
      <c r="A10" t="s">
        <v>6</v>
      </c>
      <c r="B10" t="s">
        <v>9</v>
      </c>
      <c r="C10">
        <v>2</v>
      </c>
      <c r="D10" s="1">
        <v>41280</v>
      </c>
      <c r="F10" t="s">
        <v>20</v>
      </c>
      <c r="G10">
        <f>SUMIF(B2:B17,B14,C2:C17)+SUMIF(B2:B17,B2,C2:C17)</f>
        <v>85</v>
      </c>
    </row>
    <row r="11" spans="1:12" x14ac:dyDescent="0.25">
      <c r="A11" t="s">
        <v>7</v>
      </c>
      <c r="B11" t="s">
        <v>10</v>
      </c>
      <c r="C11">
        <v>12</v>
      </c>
      <c r="D11" s="1">
        <v>41296</v>
      </c>
      <c r="F11" t="s">
        <v>21</v>
      </c>
      <c r="G11">
        <f>SUMIFS(C2:C17,B2:B17,B2,A2:A17,A3)+SUMIFS(C2:C17,B2:B17,B14,A2:A17,A3)</f>
        <v>33</v>
      </c>
    </row>
    <row r="12" spans="1:12" x14ac:dyDescent="0.25">
      <c r="A12" t="s">
        <v>4</v>
      </c>
      <c r="B12" t="s">
        <v>10</v>
      </c>
      <c r="C12">
        <v>15</v>
      </c>
      <c r="D12" s="1">
        <v>41297</v>
      </c>
    </row>
    <row r="13" spans="1:12" x14ac:dyDescent="0.25">
      <c r="A13" t="s">
        <v>6</v>
      </c>
      <c r="B13" t="s">
        <v>10</v>
      </c>
      <c r="C13">
        <v>6</v>
      </c>
      <c r="D13" s="1">
        <v>41299</v>
      </c>
    </row>
    <row r="14" spans="1:12" x14ac:dyDescent="0.25">
      <c r="A14" t="s">
        <v>7</v>
      </c>
      <c r="B14" t="s">
        <v>11</v>
      </c>
      <c r="C14">
        <v>10</v>
      </c>
      <c r="D14" s="1">
        <v>41277</v>
      </c>
    </row>
    <row r="15" spans="1:12" x14ac:dyDescent="0.25">
      <c r="A15" t="s">
        <v>7</v>
      </c>
      <c r="B15" t="s">
        <v>11</v>
      </c>
      <c r="C15">
        <v>5</v>
      </c>
      <c r="D15" s="1">
        <v>41280</v>
      </c>
    </row>
    <row r="16" spans="1:12" x14ac:dyDescent="0.25">
      <c r="A16" t="s">
        <v>7</v>
      </c>
      <c r="B16" t="s">
        <v>11</v>
      </c>
      <c r="C16">
        <v>20</v>
      </c>
      <c r="D16" s="1">
        <v>41276</v>
      </c>
    </row>
    <row r="17" spans="1:4" x14ac:dyDescent="0.25">
      <c r="A17" t="s">
        <v>5</v>
      </c>
      <c r="B17" t="s">
        <v>11</v>
      </c>
      <c r="C17">
        <v>6</v>
      </c>
      <c r="D17" s="1">
        <v>41285</v>
      </c>
    </row>
    <row r="18" spans="1:4" x14ac:dyDescent="0.25">
      <c r="A18" t="s">
        <v>5</v>
      </c>
      <c r="B18" t="s">
        <v>11</v>
      </c>
      <c r="C18">
        <v>6</v>
      </c>
      <c r="D18" s="1">
        <v>41285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2006-12-31T11:48:14Z</dcterms:modified>
</cp:coreProperties>
</file>