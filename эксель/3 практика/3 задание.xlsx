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3" i="1"/>
  <c r="K2" i="1"/>
  <c r="F18" i="1"/>
  <c r="I8" i="1"/>
  <c r="I9" i="1"/>
  <c r="I10" i="1"/>
  <c r="I11" i="1"/>
  <c r="I12" i="1"/>
  <c r="I13" i="1"/>
  <c r="I7" i="1"/>
  <c r="G16" i="1"/>
  <c r="F16" i="1"/>
  <c r="F2" i="1"/>
  <c r="G2" i="1" s="1"/>
  <c r="F8" i="1"/>
  <c r="G8" i="1" s="1"/>
  <c r="F3" i="1"/>
  <c r="G3" i="1" s="1"/>
  <c r="F9" i="1"/>
  <c r="G9" i="1" s="1"/>
  <c r="F4" i="1"/>
  <c r="G4" i="1" s="1"/>
  <c r="F10" i="1"/>
  <c r="G10" i="1" s="1"/>
  <c r="F5" i="1"/>
  <c r="G5" i="1" s="1"/>
  <c r="F11" i="1"/>
  <c r="G11" i="1" s="1"/>
  <c r="F12" i="1"/>
  <c r="G12" i="1" s="1"/>
  <c r="K12" i="1" s="1"/>
  <c r="F13" i="1"/>
  <c r="G13" i="1" s="1"/>
  <c r="F6" i="1"/>
  <c r="G6" i="1" s="1"/>
  <c r="F7" i="1"/>
  <c r="G7" i="1" s="1"/>
</calcChain>
</file>

<file path=xl/sharedStrings.xml><?xml version="1.0" encoding="utf-8"?>
<sst xmlns="http://schemas.openxmlformats.org/spreadsheetml/2006/main" count="36" uniqueCount="17">
  <si>
    <t>№</t>
  </si>
  <si>
    <t>Название</t>
  </si>
  <si>
    <t>Марка</t>
  </si>
  <si>
    <t>Кол-во</t>
  </si>
  <si>
    <t>Цена(руб)</t>
  </si>
  <si>
    <t>Цена (евро)</t>
  </si>
  <si>
    <t>Сумма (евро)</t>
  </si>
  <si>
    <t>Телевизор</t>
  </si>
  <si>
    <t>Видеокамера</t>
  </si>
  <si>
    <t>PANASONIC</t>
  </si>
  <si>
    <t>SONY</t>
  </si>
  <si>
    <t>JVC</t>
  </si>
  <si>
    <t>Задание 4</t>
  </si>
  <si>
    <t>Задание 5</t>
  </si>
  <si>
    <t>Телевизоры</t>
  </si>
  <si>
    <t>Видеокамеры</t>
  </si>
  <si>
    <t>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</si>
</sst>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77915573053368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Лист1!$C$2:$C$6</c:f>
              <c:strCache>
                <c:ptCount val="5"/>
                <c:pt idx="0">
                  <c:v>PANASONIC</c:v>
                </c:pt>
                <c:pt idx="1">
                  <c:v>SONY</c:v>
                </c:pt>
                <c:pt idx="2">
                  <c:v>SONY</c:v>
                </c:pt>
                <c:pt idx="3">
                  <c:v>SONY</c:v>
                </c:pt>
                <c:pt idx="4">
                  <c:v>JVC</c:v>
                </c:pt>
              </c:strCache>
            </c:strRef>
          </c:cat>
          <c:val>
            <c:numRef>
              <c:f>Лист1!$G$2:$G$6</c:f>
              <c:numCache>
                <c:formatCode>General</c:formatCode>
                <c:ptCount val="5"/>
                <c:pt idx="0">
                  <c:v>1662.4</c:v>
                </c:pt>
                <c:pt idx="1">
                  <c:v>570.59999999999991</c:v>
                </c:pt>
                <c:pt idx="2">
                  <c:v>1673.3999999999999</c:v>
                </c:pt>
                <c:pt idx="3">
                  <c:v>1128</c:v>
                </c:pt>
                <c:pt idx="4">
                  <c:v>1459.8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2E-438D-B258-AB0C3C2B3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13</xdr:row>
      <xdr:rowOff>185737</xdr:rowOff>
    </xdr:from>
    <xdr:to>
      <xdr:col>15</xdr:col>
      <xdr:colOff>323850</xdr:colOff>
      <xdr:row>28</xdr:row>
      <xdr:rowOff>71437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J2" sqref="J2"/>
    </sheetView>
  </sheetViews>
  <sheetFormatPr defaultRowHeight="15" x14ac:dyDescent="0.25"/>
  <cols>
    <col min="2" max="2" width="13.5703125" customWidth="1"/>
    <col min="3" max="3" width="14.28515625" customWidth="1"/>
    <col min="5" max="5" width="10.28515625" customWidth="1"/>
    <col min="6" max="6" width="12.42578125" customWidth="1"/>
    <col min="7" max="7" width="13" customWidth="1"/>
    <col min="11" max="11" width="17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K1" t="s">
        <v>16</v>
      </c>
    </row>
    <row r="2" spans="1:11" x14ac:dyDescent="0.25">
      <c r="A2">
        <v>2</v>
      </c>
      <c r="B2" t="s">
        <v>8</v>
      </c>
      <c r="C2" t="s">
        <v>9</v>
      </c>
      <c r="D2">
        <v>8</v>
      </c>
      <c r="E2">
        <v>9350</v>
      </c>
      <c r="F2">
        <f>ROUND(E2/$B$15,1)</f>
        <v>207.8</v>
      </c>
      <c r="G2">
        <f>F2*D2</f>
        <v>1662.4</v>
      </c>
      <c r="K2" t="str">
        <f>IF(OR(AND(B2="Видеокамера",G2&gt;1000),AND(B2="Телевизор",G2&gt;800)),"Товар 1-й группы","Товар 2-й группы")</f>
        <v>Товар 1-й группы</v>
      </c>
    </row>
    <row r="3" spans="1:11" x14ac:dyDescent="0.25">
      <c r="A3">
        <v>4</v>
      </c>
      <c r="B3" t="s">
        <v>8</v>
      </c>
      <c r="C3" t="s">
        <v>10</v>
      </c>
      <c r="D3">
        <v>3</v>
      </c>
      <c r="E3">
        <v>8560</v>
      </c>
      <c r="F3">
        <f>ROUND(E3/$B$15,1)</f>
        <v>190.2</v>
      </c>
      <c r="G3">
        <f>F3*D3</f>
        <v>570.59999999999991</v>
      </c>
      <c r="K3" t="str">
        <f t="shared" ref="K3:K13" si="0">IF(OR(AND(B3="Видеокамера",G3&gt;1000),AND(B3="Телевизор",G3&gt;800)),"Товар 1-й группы","Товар 2-й группы")</f>
        <v>Товар 2-й группы</v>
      </c>
    </row>
    <row r="4" spans="1:11" x14ac:dyDescent="0.25">
      <c r="A4">
        <v>6</v>
      </c>
      <c r="B4" t="s">
        <v>8</v>
      </c>
      <c r="C4" t="s">
        <v>10</v>
      </c>
      <c r="D4">
        <v>6</v>
      </c>
      <c r="E4">
        <v>12550</v>
      </c>
      <c r="F4">
        <f>ROUND(E4/$B$15,1)</f>
        <v>278.89999999999998</v>
      </c>
      <c r="G4">
        <f>F4*D4</f>
        <v>1673.3999999999999</v>
      </c>
      <c r="K4" t="str">
        <f t="shared" si="0"/>
        <v>Товар 1-й группы</v>
      </c>
    </row>
    <row r="5" spans="1:11" x14ac:dyDescent="0.25">
      <c r="A5">
        <v>8</v>
      </c>
      <c r="B5" t="s">
        <v>8</v>
      </c>
      <c r="C5" t="s">
        <v>10</v>
      </c>
      <c r="D5">
        <v>5</v>
      </c>
      <c r="E5">
        <v>10150</v>
      </c>
      <c r="F5">
        <f>ROUND(E5/$B$15,1)</f>
        <v>225.6</v>
      </c>
      <c r="G5">
        <f>F5*D5</f>
        <v>1128</v>
      </c>
      <c r="K5" t="str">
        <f t="shared" si="0"/>
        <v>Товар 1-й группы</v>
      </c>
    </row>
    <row r="6" spans="1:11" x14ac:dyDescent="0.25">
      <c r="A6">
        <v>12</v>
      </c>
      <c r="B6" t="s">
        <v>8</v>
      </c>
      <c r="C6" t="s">
        <v>11</v>
      </c>
      <c r="D6">
        <v>9</v>
      </c>
      <c r="E6">
        <v>7300</v>
      </c>
      <c r="F6">
        <f>ROUND(E6/$B$15,1)</f>
        <v>162.19999999999999</v>
      </c>
      <c r="G6">
        <f>F6*D6</f>
        <v>1459.8</v>
      </c>
      <c r="K6" t="str">
        <f t="shared" si="0"/>
        <v>Товар 1-й группы</v>
      </c>
    </row>
    <row r="7" spans="1:11" x14ac:dyDescent="0.25">
      <c r="A7">
        <v>1</v>
      </c>
      <c r="B7" t="s">
        <v>7</v>
      </c>
      <c r="C7" t="s">
        <v>9</v>
      </c>
      <c r="D7">
        <v>10</v>
      </c>
      <c r="E7">
        <v>5500</v>
      </c>
      <c r="F7">
        <f>ROUND(E7/$B$15,1)</f>
        <v>122.2</v>
      </c>
      <c r="G7">
        <f>F7*D7</f>
        <v>1222</v>
      </c>
      <c r="I7">
        <f>IF(C7 ="PANASONIC",E7)</f>
        <v>5500</v>
      </c>
      <c r="K7" t="str">
        <f t="shared" si="0"/>
        <v>Товар 1-й группы</v>
      </c>
    </row>
    <row r="8" spans="1:11" x14ac:dyDescent="0.25">
      <c r="A8">
        <v>3</v>
      </c>
      <c r="B8" t="s">
        <v>7</v>
      </c>
      <c r="C8" t="s">
        <v>10</v>
      </c>
      <c r="D8">
        <v>4</v>
      </c>
      <c r="E8">
        <v>5800</v>
      </c>
      <c r="F8">
        <f>ROUND(E8/$B$15,1)</f>
        <v>128.9</v>
      </c>
      <c r="G8">
        <f>F8*D8</f>
        <v>515.6</v>
      </c>
      <c r="I8" t="b">
        <f t="shared" ref="I8:I13" si="1">IF(C8 ="PANASONIC",E8)</f>
        <v>0</v>
      </c>
      <c r="K8" t="str">
        <f t="shared" si="0"/>
        <v>Товар 2-й группы</v>
      </c>
    </row>
    <row r="9" spans="1:11" x14ac:dyDescent="0.25">
      <c r="A9">
        <v>5</v>
      </c>
      <c r="B9" t="s">
        <v>7</v>
      </c>
      <c r="C9" t="s">
        <v>11</v>
      </c>
      <c r="D9">
        <v>1</v>
      </c>
      <c r="E9">
        <v>9450</v>
      </c>
      <c r="F9">
        <f>ROUND(E9/$B$15,1)</f>
        <v>210</v>
      </c>
      <c r="G9">
        <f>F9*D9</f>
        <v>210</v>
      </c>
      <c r="I9" t="b">
        <f t="shared" si="1"/>
        <v>0</v>
      </c>
      <c r="K9" t="str">
        <f t="shared" si="0"/>
        <v>Товар 2-й группы</v>
      </c>
    </row>
    <row r="10" spans="1:11" x14ac:dyDescent="0.25">
      <c r="A10">
        <v>7</v>
      </c>
      <c r="B10" t="s">
        <v>7</v>
      </c>
      <c r="C10" t="s">
        <v>10</v>
      </c>
      <c r="D10">
        <v>4</v>
      </c>
      <c r="E10">
        <v>8750</v>
      </c>
      <c r="F10">
        <f>ROUND(E10/$B$15,1)</f>
        <v>194.4</v>
      </c>
      <c r="G10">
        <f>F10*D10</f>
        <v>777.6</v>
      </c>
      <c r="I10" t="b">
        <f t="shared" si="1"/>
        <v>0</v>
      </c>
      <c r="K10" t="str">
        <f t="shared" si="0"/>
        <v>Товар 2-й группы</v>
      </c>
    </row>
    <row r="11" spans="1:11" x14ac:dyDescent="0.25">
      <c r="A11">
        <v>9</v>
      </c>
      <c r="B11" t="s">
        <v>7</v>
      </c>
      <c r="C11" t="s">
        <v>10</v>
      </c>
      <c r="D11">
        <v>7</v>
      </c>
      <c r="E11">
        <v>6300</v>
      </c>
      <c r="F11">
        <f>ROUND(E11/$B$15,1)</f>
        <v>140</v>
      </c>
      <c r="G11">
        <f>F11*D11</f>
        <v>980</v>
      </c>
      <c r="I11" t="b">
        <f t="shared" si="1"/>
        <v>0</v>
      </c>
      <c r="K11" t="str">
        <f t="shared" si="0"/>
        <v>Товар 1-й группы</v>
      </c>
    </row>
    <row r="12" spans="1:11" x14ac:dyDescent="0.25">
      <c r="A12">
        <v>10</v>
      </c>
      <c r="B12" t="s">
        <v>7</v>
      </c>
      <c r="C12" t="s">
        <v>9</v>
      </c>
      <c r="D12">
        <v>3</v>
      </c>
      <c r="E12">
        <v>8500</v>
      </c>
      <c r="F12">
        <f>ROUND(E12/$B$15,1)</f>
        <v>188.9</v>
      </c>
      <c r="G12">
        <f>F12*D12</f>
        <v>566.70000000000005</v>
      </c>
      <c r="I12">
        <f t="shared" si="1"/>
        <v>8500</v>
      </c>
      <c r="K12" t="str">
        <f t="shared" si="0"/>
        <v>Товар 2-й группы</v>
      </c>
    </row>
    <row r="13" spans="1:11" x14ac:dyDescent="0.25">
      <c r="A13">
        <v>11</v>
      </c>
      <c r="B13" t="s">
        <v>7</v>
      </c>
      <c r="C13" t="s">
        <v>11</v>
      </c>
      <c r="D13">
        <v>3</v>
      </c>
      <c r="E13">
        <v>5900</v>
      </c>
      <c r="F13">
        <f>ROUND(E13/$B$15,1)</f>
        <v>131.1</v>
      </c>
      <c r="G13">
        <f>F13*D13</f>
        <v>393.29999999999995</v>
      </c>
      <c r="I13" t="b">
        <f t="shared" si="1"/>
        <v>0</v>
      </c>
      <c r="K13" t="str">
        <f t="shared" si="0"/>
        <v>Товар 2-й группы</v>
      </c>
    </row>
    <row r="15" spans="1:11" x14ac:dyDescent="0.25">
      <c r="B15">
        <v>45</v>
      </c>
      <c r="F15" t="s">
        <v>14</v>
      </c>
      <c r="G15" t="s">
        <v>15</v>
      </c>
    </row>
    <row r="16" spans="1:11" x14ac:dyDescent="0.25">
      <c r="E16" t="s">
        <v>12</v>
      </c>
      <c r="F16">
        <f>SUMIF(B2:B13,B7,D2:D13)</f>
        <v>32</v>
      </c>
      <c r="G16">
        <f>SUMIF(B2:B13,B6,D2:D13)</f>
        <v>31</v>
      </c>
    </row>
    <row r="18" spans="5:6" x14ac:dyDescent="0.25">
      <c r="E18" t="s">
        <v>13</v>
      </c>
      <c r="F18">
        <f>MAX(I7:I13)</f>
        <v>8500</v>
      </c>
    </row>
  </sheetData>
  <sortState ref="A2:G13">
    <sortCondition ref="B2:B13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2006-12-31T13:09:24Z</dcterms:modified>
</cp:coreProperties>
</file>