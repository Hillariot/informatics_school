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6" i="1" l="1"/>
  <c r="J2" i="1"/>
  <c r="I2" i="1"/>
  <c r="P6" i="1"/>
  <c r="P3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7" i="1"/>
  <c r="H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2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P2" i="1" s="1"/>
  <c r="G17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H16" i="1" s="1"/>
  <c r="E17" i="1"/>
  <c r="E2" i="1"/>
  <c r="P5" i="1" l="1"/>
  <c r="P7" i="1"/>
  <c r="P4" i="1"/>
</calcChain>
</file>

<file path=xl/sharedStrings.xml><?xml version="1.0" encoding="utf-8"?>
<sst xmlns="http://schemas.openxmlformats.org/spreadsheetml/2006/main" count="67" uniqueCount="39">
  <si>
    <t>Ученик</t>
  </si>
  <si>
    <t>Дата рождения</t>
  </si>
  <si>
    <t>Пол</t>
  </si>
  <si>
    <t>Класс</t>
  </si>
  <si>
    <t>10а</t>
  </si>
  <si>
    <t>10б</t>
  </si>
  <si>
    <t>М</t>
  </si>
  <si>
    <t>Ж</t>
  </si>
  <si>
    <t>Богданов Пётр</t>
  </si>
  <si>
    <t>Антонова Ольга</t>
  </si>
  <si>
    <t>Петров Олег</t>
  </si>
  <si>
    <t>Данилова Татьяна</t>
  </si>
  <si>
    <t>Прохорова Ирина</t>
  </si>
  <si>
    <t>Примаков Константин</t>
  </si>
  <si>
    <t>Васильева Надежда</t>
  </si>
  <si>
    <t>Сидоров Игорь</t>
  </si>
  <si>
    <t>Коростылев Степан</t>
  </si>
  <si>
    <t>Архипов Василий</t>
  </si>
  <si>
    <t>Фёдоров Сергей</t>
  </si>
  <si>
    <t>Рогаткина Мария</t>
  </si>
  <si>
    <t>Симонов Игорь</t>
  </si>
  <si>
    <t>Соломатин Антон</t>
  </si>
  <si>
    <t>Михайлов Иван</t>
  </si>
  <si>
    <t>1 задание</t>
  </si>
  <si>
    <t>2 задание</t>
  </si>
  <si>
    <t>3 задание</t>
  </si>
  <si>
    <t>4 задание</t>
  </si>
  <si>
    <t>5 задание</t>
  </si>
  <si>
    <t>6 задание</t>
  </si>
  <si>
    <t>День</t>
  </si>
  <si>
    <t>Месяц</t>
  </si>
  <si>
    <t>Год</t>
  </si>
  <si>
    <t>День рождения</t>
  </si>
  <si>
    <t>Фамилия</t>
  </si>
  <si>
    <t>Имя</t>
  </si>
  <si>
    <t>ФИО</t>
  </si>
  <si>
    <t>Захаров Илья</t>
  </si>
  <si>
    <t>Номер</t>
  </si>
  <si>
    <t>Литера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</si>
</sst>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"/>
  <sheetViews>
    <sheetView tabSelected="1" topLeftCell="B1" workbookViewId="0">
      <selection activeCell="P7" sqref="P7"/>
    </sheetView>
  </sheetViews>
  <sheetFormatPr defaultRowHeight="15" x14ac:dyDescent="0.25"/>
  <cols>
    <col min="1" max="1" width="20.140625" customWidth="1"/>
    <col min="2" max="2" width="15.140625" customWidth="1"/>
    <col min="6" max="6" width="12" customWidth="1"/>
    <col min="8" max="8" width="19.28515625" customWidth="1"/>
    <col min="9" max="9" width="12" customWidth="1"/>
    <col min="10" max="10" width="10.5703125" customWidth="1"/>
    <col min="11" max="11" width="14.42578125" customWidth="1"/>
    <col min="13" max="13" width="1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37</v>
      </c>
      <c r="M1" t="s">
        <v>38</v>
      </c>
    </row>
    <row r="2" spans="1:17" x14ac:dyDescent="0.25">
      <c r="A2" t="s">
        <v>8</v>
      </c>
      <c r="B2" s="1">
        <v>33675</v>
      </c>
      <c r="C2" t="s">
        <v>6</v>
      </c>
      <c r="D2" t="s">
        <v>4</v>
      </c>
      <c r="E2">
        <f>DAY(B2)</f>
        <v>12</v>
      </c>
      <c r="F2">
        <f>MONTH(B2)</f>
        <v>3</v>
      </c>
      <c r="G2">
        <f>YEAR(B2)</f>
        <v>1992</v>
      </c>
      <c r="H2" t="str">
        <f>IF(AND(E2=1,F2=1),"Да","Нет")</f>
        <v>Нет</v>
      </c>
      <c r="I2" t="str">
        <f>LEFT(A2,SEARCH(" ",A2,1))</f>
        <v xml:space="preserve">Богданов </v>
      </c>
      <c r="J2" t="str">
        <f>RIGHT(A2,LEN(A2)-SEARCH(" ",A2,1))</f>
        <v>Пётр</v>
      </c>
      <c r="K2" t="str">
        <f>CONCATENATE(I2," ",LEFT(J2,1),".")</f>
        <v>Богданов  П.</v>
      </c>
      <c r="L2" t="str">
        <f>LEFT(D2,2)</f>
        <v>10</v>
      </c>
      <c r="M2" t="str">
        <f>RIGHT(D2,1)</f>
        <v>а</v>
      </c>
      <c r="O2" t="s">
        <v>23</v>
      </c>
      <c r="P2">
        <f>COUNTIF(G2:G17,G3)</f>
        <v>6</v>
      </c>
    </row>
    <row r="3" spans="1:17" x14ac:dyDescent="0.25">
      <c r="A3" t="s">
        <v>36</v>
      </c>
      <c r="B3" s="1">
        <v>33339</v>
      </c>
      <c r="C3" t="s">
        <v>6</v>
      </c>
      <c r="D3" t="s">
        <v>4</v>
      </c>
      <c r="E3">
        <f t="shared" ref="E3:E17" si="0">DAY(B3)</f>
        <v>11</v>
      </c>
      <c r="F3">
        <f t="shared" ref="F3:F17" si="1">MONTH(B3)</f>
        <v>4</v>
      </c>
      <c r="G3">
        <f t="shared" ref="G3:G17" si="2">YEAR(B3)</f>
        <v>1991</v>
      </c>
      <c r="H3" t="str">
        <f t="shared" ref="H3:H17" si="3">IF(AND(E3=1,F3=1),"Да","Нет")</f>
        <v>Нет</v>
      </c>
      <c r="I3" t="str">
        <f t="shared" ref="I3:I17" si="4">LEFT(A3,SEARCH(" ",A3,1))</f>
        <v xml:space="preserve">Захаров </v>
      </c>
      <c r="J3" t="str">
        <f t="shared" ref="J3:J17" si="5">RIGHT(A3,LEN(A3)-SEARCH(" ",A3,1))</f>
        <v>Илья</v>
      </c>
      <c r="K3" t="str">
        <f t="shared" ref="K3:K17" si="6">CONCATENATE(I3," ",LEFT(J3,1),".")</f>
        <v>Захаров  И.</v>
      </c>
      <c r="L3" t="str">
        <f t="shared" ref="L3:L17" si="7">LEFT(D3,2)</f>
        <v>10</v>
      </c>
      <c r="M3" t="str">
        <f t="shared" ref="M3:M17" si="8">RIGHT(D3,1)</f>
        <v>а</v>
      </c>
      <c r="O3" t="s">
        <v>24</v>
      </c>
      <c r="P3">
        <f>COUNTIFS(G2:G17,G3,C2:C17,C2)</f>
        <v>4</v>
      </c>
    </row>
    <row r="4" spans="1:17" x14ac:dyDescent="0.25">
      <c r="A4" t="s">
        <v>9</v>
      </c>
      <c r="B4" s="1">
        <v>33363</v>
      </c>
      <c r="C4" t="s">
        <v>7</v>
      </c>
      <c r="D4" t="s">
        <v>4</v>
      </c>
      <c r="E4">
        <f t="shared" si="0"/>
        <v>5</v>
      </c>
      <c r="F4">
        <f t="shared" si="1"/>
        <v>5</v>
      </c>
      <c r="G4">
        <f t="shared" si="2"/>
        <v>1991</v>
      </c>
      <c r="H4" t="str">
        <f t="shared" si="3"/>
        <v>Нет</v>
      </c>
      <c r="I4" t="str">
        <f t="shared" si="4"/>
        <v xml:space="preserve">Антонова </v>
      </c>
      <c r="J4" t="str">
        <f t="shared" si="5"/>
        <v>Ольга</v>
      </c>
      <c r="K4" t="str">
        <f t="shared" si="6"/>
        <v>Антонова  О.</v>
      </c>
      <c r="L4" t="str">
        <f t="shared" si="7"/>
        <v>10</v>
      </c>
      <c r="M4" t="str">
        <f t="shared" si="8"/>
        <v>а</v>
      </c>
      <c r="O4" t="s">
        <v>25</v>
      </c>
      <c r="P4">
        <f>COUNTIF(F2:F17,4)</f>
        <v>2</v>
      </c>
    </row>
    <row r="5" spans="1:17" x14ac:dyDescent="0.25">
      <c r="A5" t="s">
        <v>10</v>
      </c>
      <c r="B5" s="1">
        <v>33575</v>
      </c>
      <c r="C5" t="s">
        <v>6</v>
      </c>
      <c r="D5" t="s">
        <v>5</v>
      </c>
      <c r="E5">
        <f t="shared" si="0"/>
        <v>3</v>
      </c>
      <c r="F5">
        <f t="shared" si="1"/>
        <v>12</v>
      </c>
      <c r="G5">
        <f t="shared" si="2"/>
        <v>1991</v>
      </c>
      <c r="H5" t="str">
        <f t="shared" si="3"/>
        <v>Нет</v>
      </c>
      <c r="I5" t="str">
        <f t="shared" si="4"/>
        <v xml:space="preserve">Петров </v>
      </c>
      <c r="J5" t="str">
        <f t="shared" si="5"/>
        <v>Олег</v>
      </c>
      <c r="K5" t="str">
        <f t="shared" si="6"/>
        <v>Петров  О.</v>
      </c>
      <c r="L5" t="str">
        <f t="shared" si="7"/>
        <v>10</v>
      </c>
      <c r="M5" t="str">
        <f t="shared" si="8"/>
        <v>б</v>
      </c>
      <c r="O5" t="s">
        <v>26</v>
      </c>
      <c r="P5">
        <f>COUNTIFS(G2:G17,G9,F2:F17,F2)</f>
        <v>3</v>
      </c>
    </row>
    <row r="6" spans="1:17" x14ac:dyDescent="0.25">
      <c r="A6" t="s">
        <v>11</v>
      </c>
      <c r="B6" s="1">
        <v>33452</v>
      </c>
      <c r="C6" t="s">
        <v>7</v>
      </c>
      <c r="D6" t="s">
        <v>5</v>
      </c>
      <c r="E6">
        <f t="shared" si="0"/>
        <v>2</v>
      </c>
      <c r="F6">
        <f t="shared" si="1"/>
        <v>8</v>
      </c>
      <c r="G6">
        <f t="shared" si="2"/>
        <v>1991</v>
      </c>
      <c r="H6" t="str">
        <f t="shared" si="3"/>
        <v>Нет</v>
      </c>
      <c r="I6" t="str">
        <f t="shared" si="4"/>
        <v xml:space="preserve">Данилова </v>
      </c>
      <c r="J6" t="str">
        <f t="shared" si="5"/>
        <v>Татьяна</v>
      </c>
      <c r="K6" t="str">
        <f t="shared" si="6"/>
        <v>Данилова  Т.</v>
      </c>
      <c r="L6" t="str">
        <f t="shared" si="7"/>
        <v>10</v>
      </c>
      <c r="M6" t="str">
        <f t="shared" si="8"/>
        <v>б</v>
      </c>
      <c r="O6" t="s">
        <v>27</v>
      </c>
      <c r="P6">
        <f>COUNTIF(F2:F17,F2)+COUNTIF(F2:F17,F3)+COUNTIF(F2:F17,F4)</f>
        <v>8</v>
      </c>
      <c r="Q6">
        <f>COUNTIFS(F2:F17,"&lt;6",F2:F17,"&gt;2")</f>
        <v>8</v>
      </c>
    </row>
    <row r="7" spans="1:17" x14ac:dyDescent="0.25">
      <c r="A7" t="s">
        <v>12</v>
      </c>
      <c r="B7" s="1">
        <v>32934</v>
      </c>
      <c r="C7" t="s">
        <v>7</v>
      </c>
      <c r="D7" t="s">
        <v>5</v>
      </c>
      <c r="E7">
        <f t="shared" si="0"/>
        <v>2</v>
      </c>
      <c r="F7">
        <f t="shared" si="1"/>
        <v>3</v>
      </c>
      <c r="G7">
        <f t="shared" si="2"/>
        <v>1990</v>
      </c>
      <c r="H7" t="str">
        <f t="shared" si="3"/>
        <v>Нет</v>
      </c>
      <c r="I7" t="str">
        <f t="shared" si="4"/>
        <v xml:space="preserve">Прохорова </v>
      </c>
      <c r="J7" t="str">
        <f t="shared" si="5"/>
        <v>Ирина</v>
      </c>
      <c r="K7" t="str">
        <f t="shared" si="6"/>
        <v>Прохорова  И.</v>
      </c>
      <c r="L7" t="str">
        <f t="shared" si="7"/>
        <v>10</v>
      </c>
      <c r="M7" t="str">
        <f t="shared" si="8"/>
        <v>б</v>
      </c>
      <c r="O7" t="s">
        <v>28</v>
      </c>
      <c r="P7">
        <f>COUNTIF(F2:F17,F5)+COUNTIF(F2:F17,"Январь")+COUNTIF(F2:F17,"Февраль")</f>
        <v>1</v>
      </c>
    </row>
    <row r="8" spans="1:17" x14ac:dyDescent="0.25">
      <c r="A8" t="s">
        <v>13</v>
      </c>
      <c r="B8" s="1">
        <v>33339</v>
      </c>
      <c r="C8" t="s">
        <v>6</v>
      </c>
      <c r="D8" t="s">
        <v>5</v>
      </c>
      <c r="E8">
        <f t="shared" si="0"/>
        <v>11</v>
      </c>
      <c r="F8">
        <f t="shared" si="1"/>
        <v>4</v>
      </c>
      <c r="G8">
        <f t="shared" si="2"/>
        <v>1991</v>
      </c>
      <c r="H8" t="str">
        <f t="shared" si="3"/>
        <v>Нет</v>
      </c>
      <c r="I8" t="str">
        <f t="shared" si="4"/>
        <v xml:space="preserve">Примаков </v>
      </c>
      <c r="J8" t="str">
        <f t="shared" si="5"/>
        <v>Константин</v>
      </c>
      <c r="K8" t="str">
        <f t="shared" si="6"/>
        <v>Примаков  К.</v>
      </c>
      <c r="L8" t="str">
        <f t="shared" si="7"/>
        <v>10</v>
      </c>
      <c r="M8" t="str">
        <f t="shared" si="8"/>
        <v>б</v>
      </c>
    </row>
    <row r="9" spans="1:17" x14ac:dyDescent="0.25">
      <c r="A9" t="s">
        <v>14</v>
      </c>
      <c r="B9" s="1">
        <v>32935</v>
      </c>
      <c r="C9" t="s">
        <v>7</v>
      </c>
      <c r="D9" t="s">
        <v>4</v>
      </c>
      <c r="E9">
        <f t="shared" si="0"/>
        <v>3</v>
      </c>
      <c r="F9">
        <f t="shared" si="1"/>
        <v>3</v>
      </c>
      <c r="G9">
        <f t="shared" si="2"/>
        <v>1990</v>
      </c>
      <c r="H9" t="str">
        <f t="shared" si="3"/>
        <v>Нет</v>
      </c>
      <c r="I9" t="str">
        <f t="shared" si="4"/>
        <v xml:space="preserve">Васильева </v>
      </c>
      <c r="J9" t="str">
        <f t="shared" si="5"/>
        <v>Надежда</v>
      </c>
      <c r="K9" t="str">
        <f t="shared" si="6"/>
        <v>Васильева  Н.</v>
      </c>
      <c r="L9" t="str">
        <f t="shared" si="7"/>
        <v>10</v>
      </c>
      <c r="M9" t="str">
        <f t="shared" si="8"/>
        <v>а</v>
      </c>
    </row>
    <row r="10" spans="1:17" x14ac:dyDescent="0.25">
      <c r="A10" t="s">
        <v>15</v>
      </c>
      <c r="B10" s="1">
        <v>33118</v>
      </c>
      <c r="C10" t="s">
        <v>6</v>
      </c>
      <c r="D10" t="s">
        <v>4</v>
      </c>
      <c r="E10">
        <f t="shared" si="0"/>
        <v>2</v>
      </c>
      <c r="F10">
        <f t="shared" si="1"/>
        <v>9</v>
      </c>
      <c r="G10">
        <f t="shared" si="2"/>
        <v>1990</v>
      </c>
      <c r="H10" t="str">
        <f t="shared" si="3"/>
        <v>Нет</v>
      </c>
      <c r="I10" t="str">
        <f t="shared" si="4"/>
        <v xml:space="preserve">Сидоров </v>
      </c>
      <c r="J10" t="str">
        <f t="shared" si="5"/>
        <v>Игорь</v>
      </c>
      <c r="K10" t="str">
        <f t="shared" si="6"/>
        <v>Сидоров  И.</v>
      </c>
      <c r="L10" t="str">
        <f t="shared" si="7"/>
        <v>10</v>
      </c>
      <c r="M10" t="str">
        <f t="shared" si="8"/>
        <v>а</v>
      </c>
    </row>
    <row r="11" spans="1:17" x14ac:dyDescent="0.25">
      <c r="A11" t="s">
        <v>16</v>
      </c>
      <c r="B11" s="1">
        <v>32721</v>
      </c>
      <c r="C11" t="s">
        <v>6</v>
      </c>
      <c r="D11" t="s">
        <v>4</v>
      </c>
      <c r="E11">
        <f t="shared" si="0"/>
        <v>1</v>
      </c>
      <c r="F11">
        <f t="shared" si="1"/>
        <v>8</v>
      </c>
      <c r="G11">
        <f t="shared" si="2"/>
        <v>1989</v>
      </c>
      <c r="H11" t="str">
        <f t="shared" si="3"/>
        <v>Нет</v>
      </c>
      <c r="I11" t="str">
        <f t="shared" si="4"/>
        <v xml:space="preserve">Коростылев </v>
      </c>
      <c r="J11" t="str">
        <f t="shared" si="5"/>
        <v>Степан</v>
      </c>
      <c r="K11" t="str">
        <f t="shared" si="6"/>
        <v>Коростылев  С.</v>
      </c>
      <c r="L11" t="str">
        <f t="shared" si="7"/>
        <v>10</v>
      </c>
      <c r="M11" t="str">
        <f t="shared" si="8"/>
        <v>а</v>
      </c>
    </row>
    <row r="12" spans="1:17" x14ac:dyDescent="0.25">
      <c r="A12" t="s">
        <v>17</v>
      </c>
      <c r="B12" s="1">
        <v>33028</v>
      </c>
      <c r="C12" t="s">
        <v>6</v>
      </c>
      <c r="D12" t="s">
        <v>5</v>
      </c>
      <c r="E12">
        <f t="shared" si="0"/>
        <v>4</v>
      </c>
      <c r="F12">
        <f t="shared" si="1"/>
        <v>6</v>
      </c>
      <c r="G12">
        <f t="shared" si="2"/>
        <v>1990</v>
      </c>
      <c r="H12" t="str">
        <f t="shared" si="3"/>
        <v>Нет</v>
      </c>
      <c r="I12" t="str">
        <f t="shared" si="4"/>
        <v xml:space="preserve">Архипов </v>
      </c>
      <c r="J12" t="str">
        <f t="shared" si="5"/>
        <v>Василий</v>
      </c>
      <c r="K12" t="str">
        <f t="shared" si="6"/>
        <v>Архипов  В.</v>
      </c>
      <c r="L12" t="str">
        <f t="shared" si="7"/>
        <v>10</v>
      </c>
      <c r="M12" t="str">
        <f t="shared" si="8"/>
        <v>б</v>
      </c>
    </row>
    <row r="13" spans="1:17" x14ac:dyDescent="0.25">
      <c r="A13" t="s">
        <v>18</v>
      </c>
      <c r="B13" s="1">
        <v>33056</v>
      </c>
      <c r="C13" t="s">
        <v>6</v>
      </c>
      <c r="D13" t="s">
        <v>5</v>
      </c>
      <c r="E13">
        <f t="shared" si="0"/>
        <v>2</v>
      </c>
      <c r="F13">
        <f t="shared" si="1"/>
        <v>7</v>
      </c>
      <c r="G13">
        <f t="shared" si="2"/>
        <v>1990</v>
      </c>
      <c r="H13" t="str">
        <f t="shared" si="3"/>
        <v>Нет</v>
      </c>
      <c r="I13" t="str">
        <f t="shared" si="4"/>
        <v xml:space="preserve">Фёдоров </v>
      </c>
      <c r="J13" t="str">
        <f t="shared" si="5"/>
        <v>Сергей</v>
      </c>
      <c r="K13" t="str">
        <f t="shared" si="6"/>
        <v>Фёдоров  С.</v>
      </c>
      <c r="L13" t="str">
        <f t="shared" si="7"/>
        <v>10</v>
      </c>
      <c r="M13" t="str">
        <f t="shared" si="8"/>
        <v>б</v>
      </c>
    </row>
    <row r="14" spans="1:17" x14ac:dyDescent="0.25">
      <c r="A14" t="s">
        <v>19</v>
      </c>
      <c r="B14" s="1">
        <v>33036</v>
      </c>
      <c r="C14" t="s">
        <v>7</v>
      </c>
      <c r="D14" t="s">
        <v>5</v>
      </c>
      <c r="E14">
        <f t="shared" si="0"/>
        <v>12</v>
      </c>
      <c r="F14">
        <f t="shared" si="1"/>
        <v>6</v>
      </c>
      <c r="G14">
        <f t="shared" si="2"/>
        <v>1990</v>
      </c>
      <c r="H14" t="str">
        <f t="shared" si="3"/>
        <v>Нет</v>
      </c>
      <c r="I14" t="str">
        <f t="shared" si="4"/>
        <v xml:space="preserve">Рогаткина </v>
      </c>
      <c r="J14" t="str">
        <f t="shared" si="5"/>
        <v>Мария</v>
      </c>
      <c r="K14" t="str">
        <f t="shared" si="6"/>
        <v>Рогаткина  М.</v>
      </c>
      <c r="L14" t="str">
        <f t="shared" si="7"/>
        <v>10</v>
      </c>
      <c r="M14" t="str">
        <f t="shared" si="8"/>
        <v>б</v>
      </c>
    </row>
    <row r="15" spans="1:17" x14ac:dyDescent="0.25">
      <c r="A15" t="s">
        <v>20</v>
      </c>
      <c r="B15" s="1">
        <v>32944</v>
      </c>
      <c r="C15" t="s">
        <v>6</v>
      </c>
      <c r="D15" t="s">
        <v>4</v>
      </c>
      <c r="E15">
        <f t="shared" si="0"/>
        <v>12</v>
      </c>
      <c r="F15">
        <f t="shared" si="1"/>
        <v>3</v>
      </c>
      <c r="G15">
        <f t="shared" si="2"/>
        <v>1990</v>
      </c>
      <c r="H15" t="str">
        <f t="shared" si="3"/>
        <v>Нет</v>
      </c>
      <c r="I15" t="str">
        <f t="shared" si="4"/>
        <v xml:space="preserve">Симонов </v>
      </c>
      <c r="J15" t="str">
        <f t="shared" si="5"/>
        <v>Игорь</v>
      </c>
      <c r="K15" t="str">
        <f t="shared" si="6"/>
        <v>Симонов  И.</v>
      </c>
      <c r="L15" t="str">
        <f t="shared" si="7"/>
        <v>10</v>
      </c>
      <c r="M15" t="str">
        <f t="shared" si="8"/>
        <v>а</v>
      </c>
    </row>
    <row r="16" spans="1:17" x14ac:dyDescent="0.25">
      <c r="A16" t="s">
        <v>21</v>
      </c>
      <c r="B16" s="1">
        <v>33239</v>
      </c>
      <c r="C16" t="s">
        <v>6</v>
      </c>
      <c r="D16" t="s">
        <v>5</v>
      </c>
      <c r="E16">
        <f t="shared" si="0"/>
        <v>1</v>
      </c>
      <c r="F16">
        <f t="shared" si="1"/>
        <v>1</v>
      </c>
      <c r="G16">
        <f t="shared" si="2"/>
        <v>1991</v>
      </c>
      <c r="H16" t="str">
        <f t="shared" si="3"/>
        <v>Да</v>
      </c>
      <c r="I16" t="str">
        <f t="shared" si="4"/>
        <v xml:space="preserve">Соломатин </v>
      </c>
      <c r="J16" t="str">
        <f t="shared" si="5"/>
        <v>Антон</v>
      </c>
      <c r="K16" t="str">
        <f t="shared" si="6"/>
        <v>Соломатин  А.</v>
      </c>
      <c r="L16" t="str">
        <f t="shared" si="7"/>
        <v>10</v>
      </c>
      <c r="M16" t="str">
        <f t="shared" si="8"/>
        <v>б</v>
      </c>
    </row>
    <row r="17" spans="1:13" x14ac:dyDescent="0.25">
      <c r="A17" t="s">
        <v>22</v>
      </c>
      <c r="B17" s="1">
        <v>32996</v>
      </c>
      <c r="C17" t="s">
        <v>6</v>
      </c>
      <c r="D17" t="s">
        <v>4</v>
      </c>
      <c r="E17">
        <f t="shared" si="0"/>
        <v>3</v>
      </c>
      <c r="F17">
        <f t="shared" si="1"/>
        <v>5</v>
      </c>
      <c r="G17">
        <f t="shared" si="2"/>
        <v>1990</v>
      </c>
      <c r="H17" t="str">
        <f t="shared" si="3"/>
        <v>Нет</v>
      </c>
      <c r="I17" t="str">
        <f t="shared" si="4"/>
        <v xml:space="preserve">Михайлов </v>
      </c>
      <c r="J17" t="str">
        <f t="shared" si="5"/>
        <v>Иван</v>
      </c>
      <c r="K17" t="str">
        <f t="shared" si="6"/>
        <v>Михайлов  И.</v>
      </c>
      <c r="L17" t="str">
        <f t="shared" si="7"/>
        <v>10</v>
      </c>
      <c r="M17" t="str">
        <f t="shared" si="8"/>
        <v>а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2006-12-31T13:09:26Z</dcterms:modified>
</cp:coreProperties>
</file>